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Admin\Desktop\Code\DHV301\Lesson\Day 01.06.2026\"/>
    </mc:Choice>
  </mc:AlternateContent>
  <xr:revisionPtr revIDLastSave="0" documentId="13_ncr:1_{FB154E3E-77FB-43F6-9D05-A3C471097B14}" xr6:coauthVersionLast="47" xr6:coauthVersionMax="47" xr10:uidLastSave="{00000000-0000-0000-0000-000000000000}"/>
  <bookViews>
    <workbookView xWindow="-108" yWindow="-108" windowWidth="23256" windowHeight="12456" firstSheet="1" activeTab="8" xr2:uid="{230E84DC-6593-4F23-9965-8A6A413A6A1B}"/>
  </bookViews>
  <sheets>
    <sheet name="Hướng Dẫn" sheetId="3" r:id="rId1"/>
    <sheet name="Câu hỏi" sheetId="1" r:id="rId2"/>
    <sheet name="Câu hỏi 8" sheetId="12" r:id="rId3"/>
    <sheet name="Sheet11" sheetId="14" r:id="rId4"/>
    <sheet name="data" sheetId="2" r:id="rId5"/>
    <sheet name="Câu hỏi 1" sheetId="4" r:id="rId6"/>
    <sheet name="Câu hỏi 2" sheetId="5" r:id="rId7"/>
    <sheet name="Câu hỏi 3" sheetId="6" r:id="rId8"/>
    <sheet name="Câu hỏi 4" sheetId="8" r:id="rId9"/>
    <sheet name="Câu hỏi 7" sheetId="11" r:id="rId10"/>
  </sheets>
  <definedNames>
    <definedName name="_xlchart.v1.0" hidden="1">data!$F$1:$F$3</definedName>
    <definedName name="_xlchart.v1.1" hidden="1">data!$F$4:$F$196</definedName>
    <definedName name="_xlchart.v1.2" hidden="1">data!$F$1:$F$3</definedName>
    <definedName name="_xlchart.v1.3" hidden="1">data!$F$4:$F$196</definedName>
    <definedName name="Bieudo_Cau1">'Câu hỏi 1'!$D$2</definedName>
    <definedName name="Bieudo_Cau2">'Câu hỏi 1'!$D$2</definedName>
    <definedName name="Bieudo_Cau5">data!$M$6</definedName>
    <definedName name="Bieudo_Cau6">data!$M$35</definedName>
  </definedNames>
  <calcPr calcId="191029" iterateDelta="1E-4"/>
  <pivotCaches>
    <pivotCache cacheId="25"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<sst xmlns="http://schemas.openxmlformats.org/spreadsheetml/2006/main" count="753" uniqueCount="132">
  <si>
    <t>CÂU HỎI NGHIỆP VỤ – SINH VIÊN TỰ ĐIỀN</t>
  </si>
  <si>
    <t xml:space="preserve">Với MỖI câu: xác định loại câu hỏi → chọn biểu đồ → ghi lý do → vẽ trong Excel. </t>
  </si>
  <si>
    <t>STT</t>
  </si>
  <si>
    <t>Câu hỏi nghiệp vụ</t>
  </si>
  <si>
    <t>Gợi ý dữ liệu cần dùng</t>
  </si>
  <si>
    <t>Biểu đồ em chọn</t>
  </si>
  <si>
    <t>Lý do chọn</t>
  </si>
  <si>
    <t>Biểu đồ đã vẽ</t>
  </si>
  <si>
    <t>Doanh thu toàn công ty thay đổi như thế nào qua 12 tháng trong năm?</t>
  </si>
  <si>
    <t>Tổng Doanh thu theo Tháng (gộp tất cả chi nhánh &amp; nhóm hàng)</t>
  </si>
  <si>
    <t>Chi nhánh nào có tổng doanh thu cả năm cao nhất, thấp nhất?</t>
  </si>
  <si>
    <t>Tổng Doanh thu theo Chi nhánh</t>
  </si>
  <si>
    <t>Cơ cấu doanh thu cả năm theo nhóm hàng: mỗi nhóm chiếm bao nhiêu phần trăm?</t>
  </si>
  <si>
    <t>Tổng Doanh thu theo Nhóm hàng</t>
  </si>
  <si>
    <t>Trong từng quý, mỗi chi nhánh đóng góp doanh thu ra sao và tổng mỗi quý là bao nhiêu?</t>
  </si>
  <si>
    <t>Doanh thu theo Quý, tách theo Chi nhánh</t>
  </si>
  <si>
    <t>Chi phí quảng cáo có thực sự đi kèm doanh thu cao hơn không? Quan hệ giữa hai chỉ số này?</t>
  </si>
  <si>
    <t>Cặp (Chi phí QC; Doanh thu) của tất cả 192 dòng</t>
  </si>
  <si>
    <t>Giá trị doanh thu của mỗi dòng phân bố thế nào – phần lớn rơi vào khoảng nào?</t>
  </si>
  <si>
    <t>Cột 'Doanh thu (trđ)' của tất cả 192 dòng</t>
  </si>
  <si>
    <t>So sánh đồng thời Doanh thu và Số đơn hàng theo từng tháng (hai chỉ số khác thang đo).</t>
  </si>
  <si>
    <t>Tổng Doanh thu và Tổng Số đơn hàng theo Tháng</t>
  </si>
  <si>
    <t>Xếp hạng 16 tổ hợp Chi nhánh × Nhóm hàng theo số khách hàng mới thu hút được.</t>
  </si>
  <si>
    <t>Tổng Khách hàng mới theo từng tổ hợp Chi nhánh × Nhóm hàng</t>
  </si>
  <si>
    <t>Số đơn hàng cộng dồn (luỹ kế) tăng lên theo thời gian như thế nào trong năm?</t>
  </si>
  <si>
    <t>Số đơn hàng cộng dồn theo Tháng</t>
  </si>
  <si>
    <t>DỮ LIỆU BÁN HÀNG 2025 (CHUỖI ĐIỆN MÁY ABC)</t>
  </si>
  <si>
    <t>Bảng tidy: mỗi dòng là 1 tổ hợp Tháng × Chi nhánh × Nhóm hàng. Tiền tệ: triệu đồng (trđ). 192 dòng dữ liệu.</t>
  </si>
  <si>
    <t>Tháng</t>
  </si>
  <si>
    <t>Quý</t>
  </si>
  <si>
    <t>Chi nhánh</t>
  </si>
  <si>
    <t>Nhóm hàng</t>
  </si>
  <si>
    <t>Số đơn hàng</t>
  </si>
  <si>
    <t>Doanh thu (trđ)</t>
  </si>
  <si>
    <t>Chi phí QC (trđ)</t>
  </si>
  <si>
    <t>Khách hàng mới</t>
  </si>
  <si>
    <t>Quý 1</t>
  </si>
  <si>
    <t>TP.HCM</t>
  </si>
  <si>
    <t>Điện thoại</t>
  </si>
  <si>
    <t>Laptop</t>
  </si>
  <si>
    <t>Phụ kiện</t>
  </si>
  <si>
    <t>Đồng hồ</t>
  </si>
  <si>
    <t>Hà Nội</t>
  </si>
  <si>
    <t>Đà Nẵng</t>
  </si>
  <si>
    <t>Cần Thơ</t>
  </si>
  <si>
    <t>Quý 2</t>
  </si>
  <si>
    <t>Quý 3</t>
  </si>
  <si>
    <t>Quý 4</t>
  </si>
  <si>
    <t>BÀI TẬP: CHỌN ĐÚNG BIỂU ĐỒ CHO TỪNG CÂU HỎI NGHIỆP VỤ</t>
  </si>
  <si>
    <t>Dữ liệu bán hàng năm 2025 của chuỗi cửa hàng điện máy ABC – dùng để luyện vẽ và phân biệt các loại biểu đồ trong Excel.</t>
  </si>
  <si>
    <t>MỤC TIÊU</t>
  </si>
  <si>
    <t>Sau bài tập, sinh viên phân biệt được KHI NÀO dùng loại biểu đồ nào dựa trên CÂU HỎI cần trả lời, không phải vẽ ngẫu nhiên.</t>
  </si>
  <si>
    <t>Loại câu hỏi (ý định phân tích)</t>
  </si>
  <si>
    <t>Từ khoá nhận biết</t>
  </si>
  <si>
    <t>Biểu đồ NÊN dùng</t>
  </si>
  <si>
    <t>Nên tránh</t>
  </si>
  <si>
    <t>Ví dụ</t>
  </si>
  <si>
    <t>So sánh giá trị giữa các nhóm rời rạc</t>
  </si>
  <si>
    <t>so sánh, nhiều nhất, cao/thấp nhất, theo từng…</t>
  </si>
  <si>
    <t>Cột (Column)</t>
  </si>
  <si>
    <t>Tròn (khi &gt;6 nhóm)</t>
  </si>
  <si>
    <t>Doanh thu theo chi nhánh</t>
  </si>
  <si>
    <t>Xếp hạng nhiều mục, nhãn dài</t>
  </si>
  <si>
    <t>xếp hạng, top, sắp xếp</t>
  </si>
  <si>
    <t>Thanh ngang (Bar)</t>
  </si>
  <si>
    <t>Đường</t>
  </si>
  <si>
    <t>Xếp hạng 16 tổ hợp CN×nhóm</t>
  </si>
  <si>
    <t>Xu hướng theo thời gian</t>
  </si>
  <si>
    <t>qua các tháng, theo thời gian, biến động</t>
  </si>
  <si>
    <t>Đường (Line)</t>
  </si>
  <si>
    <t>Tròn</t>
  </si>
  <si>
    <t>Doanh thu 12 tháng</t>
  </si>
  <si>
    <t>Khối lượng / tích luỹ theo thời gian</t>
  </si>
  <si>
    <t>tổng dồn, cộng dồn, độ lớn theo thời gian</t>
  </si>
  <si>
    <t>Vùng (Area)</t>
  </si>
  <si>
    <t>Số đơn cộng dồn theo tháng</t>
  </si>
  <si>
    <t>Tỷ trọng / cơ cấu của MỘT tổng thể (≤6 phần)</t>
  </si>
  <si>
    <t>chiếm bao nhiêu %, cơ cấu, tỷ trọng</t>
  </si>
  <si>
    <t>Tròn / Donut (Pie)</t>
  </si>
  <si>
    <t>% doanh thu theo nhóm hàng</t>
  </si>
  <si>
    <t>Thành phần theo nhóm + so sánh tổng</t>
  </si>
  <si>
    <t>vừa cơ cấu vừa so sánh, đóng góp</t>
  </si>
  <si>
    <t>Cột chồng (Stacked)</t>
  </si>
  <si>
    <t>Tròn nhiều cái</t>
  </si>
  <si>
    <t>DT mỗi quý tách theo chi nhánh</t>
  </si>
  <si>
    <t>Mối quan hệ giữa 2 biến định lượng</t>
  </si>
  <si>
    <t>có liên quan, ảnh hưởng, tương quan</t>
  </si>
  <si>
    <t>Phân tán (Scatter)</t>
  </si>
  <si>
    <t>Cột/Đường</t>
  </si>
  <si>
    <t>Chi phí QC ↔ Doanh thu</t>
  </si>
  <si>
    <t>Phân phối / tần suất của một biến số</t>
  </si>
  <si>
    <t>phân bố, phổ biến, rơi vào khoảng nào</t>
  </si>
  <si>
    <t>Histogram (Cột tần suất)</t>
  </si>
  <si>
    <t>Phân bố giá trị doanh thu mỗi dòng</t>
  </si>
  <si>
    <t>Hai chỉ số khác đơn vị / thang đo</t>
  </si>
  <si>
    <t>đồng thời, vừa…vừa…, kèm tỷ lệ</t>
  </si>
  <si>
    <t>Kết hợp Combo (Cột + Đường)</t>
  </si>
  <si>
    <t>1 trục duy nhất</t>
  </si>
  <si>
    <t>Doanh thu (cột) + Số đơn (đường)</t>
  </si>
  <si>
    <t>Hình tròn 100% và các nhóm sẽ chia ra theo các phần của hình tròn</t>
  </si>
  <si>
    <t>Biểu đồ đường( Line)</t>
  </si>
  <si>
    <t>Biểu đồ cột( Column)</t>
  </si>
  <si>
    <t>Biểu đồ tròn(Pie)</t>
  </si>
  <si>
    <t>Biểu đồ cột chồng(Stacked)</t>
  </si>
  <si>
    <t>Vì biểu đồ đường cho thấy được sự thay đổi, xu hướng tăng trưởng hoặc biến động của dữ liệu liên tục theo thời gian."</t>
  </si>
  <si>
    <t>Giúp so sánh trực quan các giá trị tuyệt đối giữa các đối tượng độc lập (các chi nhánh) để dễ dàng nhận diện giá trị cao nhất và thấp nhất</t>
  </si>
  <si>
    <t>Vừa hiển thị được tổng doanh thu của từng Quý (chiều cao cả cột), vừa phân tách được tỷ lệ/giá trị đóng góp của từng chi nhánh bên trong mỗi quý.</t>
  </si>
  <si>
    <t>Biểu đồ phân bố tần suất (Histogram)</t>
  </si>
  <si>
    <t>Biểu đồ phân tán(Scatter)</t>
  </si>
  <si>
    <t>Giúp gom các giá trị doanh thu vào các khoảng (bins) bằng nhau để thấy được mật độ phân bố, tần suất xuất hiện và nhận biết doanh thu chủ yếu tập trung ở phân khúc nào.</t>
  </si>
  <si>
    <t>Biểu đồ kết hợp (Combo chart: Line + Column) có Trục tung thứ hai (Secondary Axis)</t>
  </si>
  <si>
    <t>Do Doanh thu (trđ) và Số đơn hàng có thang đo (đơn vị ) hoàn toàn khác nhau. Việc kết hợp cột (cho đơn hàng) và đường (cho doanh thu) trên cùng một biểu đồ kèm 2 trục dọc sẽ giúp so sánh xu hướng song song mà không bị lệch thang đo.</t>
  </si>
  <si>
    <t>Biểu đồ thanh ngang(Bar)</t>
  </si>
  <si>
    <t>Biểu đồ vùng(Area)</t>
  </si>
  <si>
    <t>Row Labels</t>
  </si>
  <si>
    <t>Grand Total</t>
  </si>
  <si>
    <t>Column Labels</t>
  </si>
  <si>
    <t>Sum of Doanh thu (trđ)</t>
  </si>
  <si>
    <t>Giúp trực quan hóa mối quan hệ giữa hai biến định lượng, từ đó xác định được xu hướng tương quan và mức độ ảnh hưởng của chi phí quảng cáo lên doanh thu.</t>
  </si>
  <si>
    <t>Biểu đồ câu 1</t>
  </si>
  <si>
    <t>Biểu đồ câu 2</t>
  </si>
  <si>
    <t>Biểu đồ câu 3</t>
  </si>
  <si>
    <t>Biểu đồ câu 4</t>
  </si>
  <si>
    <t>Biểu đồ câu 5</t>
  </si>
  <si>
    <t>Biểu đồ câu 6</t>
  </si>
  <si>
    <t xml:space="preserve">Biểu đồ câu 7 </t>
  </si>
  <si>
    <t>Biểu đồ câu 8</t>
  </si>
  <si>
    <t>Biểu đồ câu 9</t>
  </si>
  <si>
    <t>Sum of Số đơn hàng</t>
  </si>
  <si>
    <t>Sum of Khách hàng mới</t>
  </si>
  <si>
    <t>Do có nhiều đối tượng cần so sánh (16 tổ hợp) và tên nhãn dài, biểu đồ thanh ngang giúp hiển thị tên đầy đủ, dễ đọc. Việc sắp xếp thứ tự giúp người xem nhận diện ngay lập tức các tổ hợp đứng đầu và đứng cuối bảng xếp hạng</t>
  </si>
  <si>
    <t>Thể hiện rõ nét sự tích lũy (cộng dồn) và xu hướng tăng trưởng liên tục. Phần diện tích được lấp đầy bên dưới giúp người xem cảm nhận được khối lượng dữ liệu đang lớn dần theo thời gian một cách trực quan hơn biểu đồ đường thông thường.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</si>
</sst>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Calibri"/>
      <family val="2"/>
      <charset val="1"/>
    </font>
    <font>
      <b/>
      <sz val="16"/>
      <color rgb="FFFFFFFF"/>
      <name val="Arial"/>
      <charset val="1"/>
    </font>
    <font>
      <i/>
      <sz val="10"/>
      <color rgb="FF404040"/>
      <name val="Arial"/>
      <charset val="1"/>
    </font>
    <font>
      <b/>
      <sz val="11"/>
      <color rgb="FFFFFFFF"/>
      <name val="Arial"/>
      <charset val="1"/>
    </font>
    <font>
      <b/>
      <sz val="11"/>
      <color rgb="FF000000"/>
      <name val="Arial"/>
      <charset val="1"/>
    </font>
    <font>
      <sz val="11"/>
      <color rgb="FF000000"/>
      <name val="Arial"/>
      <charset val="1"/>
    </font>
    <font>
      <sz val="10"/>
      <color rgb="FF595959"/>
      <name val="Arial"/>
      <charset val="1"/>
    </font>
    <font>
      <b/>
      <sz val="11"/>
      <color rgb="FF548235"/>
      <name val="Arial"/>
      <charset val="1"/>
    </font>
    <font>
      <sz val="11"/>
      <color rgb="FFC55A11"/>
      <name val="Arial"/>
      <charset val="1"/>
    </font>
    <font>
      <u/>
      <sz val="11"/>
      <color theme="10"/>
      <name val="Calibri"/>
      <family val="2"/>
      <charset val="1"/>
    </font>
  </fonts>
  <fills count="6">
    <fill>
      <patternFill patternType="none"/>
    </fill>
    <fill>
      <patternFill patternType="gray125"/>
    </fill>
    <fill>
      <patternFill patternType="solid">
        <fgColor rgb="FF1F3864"/>
        <bgColor rgb="FF404040"/>
      </patternFill>
    </fill>
    <fill>
      <patternFill patternType="solid">
        <fgColor rgb="FFF2F2F2"/>
        <bgColor rgb="FFF9F9F9"/>
      </patternFill>
    </fill>
    <fill>
      <patternFill patternType="solid">
        <fgColor rgb="FF2E5496"/>
        <bgColor rgb="FF2E5F99"/>
      </patternFill>
    </fill>
    <fill>
      <patternFill patternType="solid">
        <fgColor rgb="FFFFF2CC"/>
        <bgColor rgb="FFF2F2F2"/>
      </patternFill>
    </fill>
  </fills>
  <borders count="5">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rgb="FFBFBFBF"/>
      </left>
      <right/>
      <top style="thin">
        <color rgb="FFBFBFBF"/>
      </top>
      <bottom style="thin">
        <color rgb="FFBFBFBF"/>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32">
    <xf numFmtId="0" fontId="0" fillId="0" borderId="0" xfId="0"/>
    <xf numFmtId="0" fontId="3" fillId="4"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3" fillId="4" borderId="2" xfId="0" applyFont="1" applyFill="1" applyBorder="1" applyAlignment="1">
      <alignment horizontal="center" vertical="center" wrapText="1"/>
    </xf>
    <xf numFmtId="0" fontId="4" fillId="0" borderId="1" xfId="0" applyFont="1" applyBorder="1" applyAlignment="1">
      <alignment horizontal="center" vertical="center" wrapText="1"/>
    </xf>
    <xf numFmtId="0" fontId="5" fillId="0" borderId="1" xfId="0" applyFont="1" applyBorder="1" applyAlignment="1">
      <alignment horizontal="left" vertical="center" wrapText="1"/>
    </xf>
    <xf numFmtId="0" fontId="6" fillId="0" borderId="1" xfId="0" applyFont="1" applyBorder="1" applyAlignment="1">
      <alignment horizontal="left" vertical="center" wrapText="1"/>
    </xf>
    <xf numFmtId="0" fontId="5" fillId="5" borderId="1" xfId="0" applyFont="1" applyFill="1" applyBorder="1" applyAlignment="1">
      <alignment horizontal="left" vertical="center" wrapText="1"/>
    </xf>
    <xf numFmtId="0" fontId="5" fillId="3" borderId="1" xfId="0" applyFont="1" applyFill="1" applyBorder="1" applyAlignment="1">
      <alignment horizontal="center" vertical="center" wrapText="1"/>
    </xf>
    <xf numFmtId="0" fontId="5" fillId="3" borderId="1" xfId="0" applyFont="1" applyFill="1" applyBorder="1" applyAlignment="1">
      <alignment horizontal="left" vertical="center" wrapText="1"/>
    </xf>
    <xf numFmtId="3" fontId="5" fillId="3" borderId="1" xfId="0" applyNumberFormat="1" applyFont="1" applyFill="1" applyBorder="1" applyAlignment="1">
      <alignment horizontal="center" vertical="center" wrapText="1"/>
    </xf>
    <xf numFmtId="164" fontId="5" fillId="3" borderId="1" xfId="0" applyNumberFormat="1" applyFont="1" applyFill="1" applyBorder="1" applyAlignment="1">
      <alignment horizontal="right" vertical="center" wrapText="1"/>
    </xf>
    <xf numFmtId="0" fontId="5" fillId="0" borderId="1" xfId="0" applyFont="1" applyBorder="1" applyAlignment="1">
      <alignment horizontal="center" vertical="center" wrapText="1"/>
    </xf>
    <xf numFmtId="3" fontId="5" fillId="0" borderId="1" xfId="0" applyNumberFormat="1" applyFont="1" applyBorder="1" applyAlignment="1">
      <alignment horizontal="center" vertical="center" wrapText="1"/>
    </xf>
    <xf numFmtId="164" fontId="5" fillId="0" borderId="1" xfId="0" applyNumberFormat="1" applyFont="1" applyBorder="1" applyAlignment="1">
      <alignment horizontal="right" vertical="center" wrapText="1"/>
    </xf>
    <xf numFmtId="0" fontId="4" fillId="0" borderId="1" xfId="0" applyFont="1" applyBorder="1" applyAlignment="1">
      <alignment horizontal="left" vertical="center" wrapText="1"/>
    </xf>
    <xf numFmtId="0" fontId="7" fillId="0" borderId="1" xfId="0" applyFont="1" applyBorder="1" applyAlignment="1">
      <alignment horizontal="left" vertical="center" wrapText="1"/>
    </xf>
    <xf numFmtId="0" fontId="8" fillId="0" borderId="1" xfId="0" applyFont="1" applyBorder="1" applyAlignment="1">
      <alignment horizontal="left" vertical="center" wrapText="1"/>
    </xf>
    <xf numFmtId="0" fontId="6" fillId="0" borderId="3" xfId="0" applyFont="1" applyBorder="1" applyAlignment="1">
      <alignment horizontal="left" vertical="center" wrapText="1"/>
    </xf>
    <xf numFmtId="0" fontId="1" fillId="2" borderId="0" xfId="0" applyFont="1" applyFill="1" applyAlignment="1">
      <alignment horizontal="left" vertical="center" indent="1"/>
    </xf>
    <xf numFmtId="0" fontId="2" fillId="3" borderId="0" xfId="0" applyFont="1" applyFill="1" applyAlignment="1">
      <alignment horizontal="left" vertical="center" wrapText="1" indent="1"/>
    </xf>
    <xf numFmtId="0" fontId="5" fillId="0" borderId="3" xfId="0" applyFont="1" applyBorder="1" applyAlignment="1">
      <alignment horizontal="left" vertical="center" wrapText="1"/>
    </xf>
    <xf numFmtId="0" fontId="3" fillId="4" borderId="3" xfId="0" applyFont="1" applyFill="1" applyBorder="1" applyAlignment="1">
      <alignment horizontal="left" vertical="center" wrapText="1"/>
    </xf>
    <xf numFmtId="0" fontId="0" fillId="0" borderId="0" xfId="0" applyNumberFormat="1"/>
    <xf numFmtId="0" fontId="0" fillId="0" borderId="0" xfId="0" pivotButton="1"/>
    <xf numFmtId="0" fontId="0" fillId="0" borderId="0" xfId="0" applyAlignment="1">
      <alignment horizontal="left"/>
    </xf>
    <xf numFmtId="0" fontId="0" fillId="0" borderId="4" xfId="0" pivotButton="1" applyBorder="1" applyAlignment="1">
      <alignment horizontal="center" vertical="center"/>
    </xf>
    <xf numFmtId="0" fontId="0" fillId="0" borderId="4" xfId="0" applyBorder="1" applyAlignment="1">
      <alignment horizontal="center" vertical="center"/>
    </xf>
    <xf numFmtId="0" fontId="0" fillId="0" borderId="4" xfId="0" applyNumberFormat="1" applyBorder="1" applyAlignment="1">
      <alignment horizontal="center" vertical="center"/>
    </xf>
    <xf numFmtId="0" fontId="9" fillId="5" borderId="1" xfId="1" applyFill="1" applyBorder="1" applyAlignment="1">
      <alignment horizontal="left" vertical="center" wrapText="1"/>
    </xf>
    <xf numFmtId="0" fontId="9" fillId="0" borderId="0" xfId="1" applyAlignment="1">
      <alignment vertical="center"/>
    </xf>
    <xf numFmtId="0" fontId="0" fillId="0" borderId="0" xfId="0" applyAlignment="1">
      <alignment horizontal="left" indent="1"/>
    </xf>
  </cellXfs>
  <cellStyles count="2">
    <cellStyle name="Hyperlink" xfId="1" builtinId="8"/>
    <cellStyle name="Normal" xfId="0" builtinId="0"/>
  </cellStyles>
  <dxfs count="72">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[Cauhoi_Data_chart_Excel.xlsx]Câu hỏi 8!PivotTable12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vi-VN"/>
        </a:p>
      </c:txPr>
    </c:title>
    <c:autoTitleDeleted val="0"/>
    <c:pivotFmts>
      <c:pivotFmt>
        <c:idx val="0"/>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pivotFmt>
      <c:pivotFmt>
        <c:idx val="2"/>
        <c:spPr>
          <a:solidFill>
            <a:srgbClr val="00B050"/>
          </a:solidFill>
          <a:ln>
            <a:noFill/>
          </a:ln>
          <a:effectLst/>
        </c:spPr>
      </c:pivotFmt>
      <c:pivotFmt>
        <c:idx val="3"/>
        <c:spPr>
          <a:solidFill>
            <a:srgbClr val="FF0000"/>
          </a:solidFill>
          <a:ln>
            <a:noFill/>
          </a:ln>
          <a:effectLst/>
        </c:spPr>
      </c:pivotFmt>
    </c:pivotFmts>
    <c:plotArea>
      <c:layout/>
      <c:barChart>
        <c:barDir val="bar"/>
        <c:grouping val="clustered"/>
        <c:varyColors val="0"/>
        <c:ser>
          <c:idx val="0"/>
          <c:order val="0"/>
          <c:tx>
            <c:strRef>
              <c:f>'Câu hỏi 8'!$B$3</c:f>
              <c:strCache>
                <c:ptCount val="1"/>
                <c:pt idx="0">
                  <c:v>Total</c:v>
                </c:pt>
              </c:strCache>
            </c:strRef>
          </c:tx>
          <c:spPr>
            <a:solidFill>
              <a:schemeClr val="bg2">
                <a:lumMod val="75000"/>
              </a:schemeClr>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4-7D67-4ABB-A389-2B504FBB02F1}"/>
              </c:ext>
            </c:extLst>
          </c:dPt>
          <c:dPt>
            <c:idx val="11"/>
            <c:invertIfNegative val="0"/>
            <c:bubble3D val="0"/>
            <c:spPr>
              <a:solidFill>
                <a:srgbClr val="92D050"/>
              </a:solidFill>
              <a:ln>
                <a:noFill/>
              </a:ln>
              <a:effectLst/>
            </c:spPr>
            <c:extLst>
              <c:ext xmlns:c16="http://schemas.microsoft.com/office/drawing/2014/chart" uri="{C3380CC4-5D6E-409C-BE32-E72D297353CC}">
                <c16:uniqueId val="{00000002-7D67-4ABB-A389-2B504FBB02F1}"/>
              </c:ext>
            </c:extLst>
          </c:dPt>
          <c:dPt>
            <c:idx val="15"/>
            <c:invertIfNegative val="0"/>
            <c:bubble3D val="0"/>
            <c:spPr>
              <a:solidFill>
                <a:srgbClr val="00B050"/>
              </a:solidFill>
              <a:ln>
                <a:noFill/>
              </a:ln>
              <a:effectLst/>
            </c:spPr>
            <c:extLst>
              <c:ext xmlns:c16="http://schemas.microsoft.com/office/drawing/2014/chart" uri="{C3380CC4-5D6E-409C-BE32-E72D297353CC}">
                <c16:uniqueId val="{00000003-7D67-4ABB-A389-2B504FBB02F1}"/>
              </c:ext>
            </c:extLst>
          </c:dPt>
          <c:cat>
            <c:multiLvlStrRef>
              <c:f>'Câu hỏi 8'!$A$4:$A$24</c:f>
              <c:multiLvlStrCache>
                <c:ptCount val="16"/>
                <c:lvl>
                  <c:pt idx="0">
                    <c:v>Laptop</c:v>
                  </c:pt>
                  <c:pt idx="1">
                    <c:v>Đồng hồ</c:v>
                  </c:pt>
                  <c:pt idx="2">
                    <c:v>Điện thoại</c:v>
                  </c:pt>
                  <c:pt idx="3">
                    <c:v>Phụ kiện</c:v>
                  </c:pt>
                  <c:pt idx="4">
                    <c:v>Laptop</c:v>
                  </c:pt>
                  <c:pt idx="5">
                    <c:v>Đồng hồ</c:v>
                  </c:pt>
                  <c:pt idx="6">
                    <c:v>Điện thoại</c:v>
                  </c:pt>
                  <c:pt idx="7">
                    <c:v>Phụ kiện</c:v>
                  </c:pt>
                  <c:pt idx="8">
                    <c:v>Laptop</c:v>
                  </c:pt>
                  <c:pt idx="9">
                    <c:v>Đồng hồ</c:v>
                  </c:pt>
                  <c:pt idx="10">
                    <c:v>Điện thoại</c:v>
                  </c:pt>
                  <c:pt idx="11">
                    <c:v>Phụ kiện</c:v>
                  </c:pt>
                  <c:pt idx="12">
                    <c:v>Laptop</c:v>
                  </c:pt>
                  <c:pt idx="13">
                    <c:v>Đồng hồ</c:v>
                  </c:pt>
                  <c:pt idx="14">
                    <c:v>Điện thoại</c:v>
                  </c:pt>
                  <c:pt idx="15">
                    <c:v>Phụ kiện</c:v>
                  </c:pt>
                </c:lvl>
                <c:lvl>
                  <c:pt idx="0">
                    <c:v>Cần Thơ</c:v>
                  </c:pt>
                  <c:pt idx="4">
                    <c:v>Đà Nẵng</c:v>
                  </c:pt>
                  <c:pt idx="8">
                    <c:v>Hà Nội</c:v>
                  </c:pt>
                  <c:pt idx="12">
                    <c:v>TP.HCM</c:v>
                  </c:pt>
                </c:lvl>
              </c:multiLvlStrCache>
            </c:multiLvlStrRef>
          </c:cat>
          <c:val>
            <c:numRef>
              <c:f>'Câu hỏi 8'!$B$4:$B$24</c:f>
              <c:numCache>
                <c:formatCode>General</c:formatCode>
                <c:ptCount val="16"/>
                <c:pt idx="0">
                  <c:v>52</c:v>
                </c:pt>
                <c:pt idx="1">
                  <c:v>99</c:v>
                </c:pt>
                <c:pt idx="2">
                  <c:v>114</c:v>
                </c:pt>
                <c:pt idx="3">
                  <c:v>263</c:v>
                </c:pt>
                <c:pt idx="4">
                  <c:v>76</c:v>
                </c:pt>
                <c:pt idx="5">
                  <c:v>129</c:v>
                </c:pt>
                <c:pt idx="6">
                  <c:v>166</c:v>
                </c:pt>
                <c:pt idx="7">
                  <c:v>332</c:v>
                </c:pt>
                <c:pt idx="8">
                  <c:v>115</c:v>
                </c:pt>
                <c:pt idx="9">
                  <c:v>219</c:v>
                </c:pt>
                <c:pt idx="10">
                  <c:v>243</c:v>
                </c:pt>
                <c:pt idx="11">
                  <c:v>524</c:v>
                </c:pt>
                <c:pt idx="12">
                  <c:v>136</c:v>
                </c:pt>
                <c:pt idx="13">
                  <c:v>234</c:v>
                </c:pt>
                <c:pt idx="14">
                  <c:v>306</c:v>
                </c:pt>
                <c:pt idx="15">
                  <c:v>646</c:v>
                </c:pt>
              </c:numCache>
            </c:numRef>
          </c:val>
          <c:extLst>
            <c:ext xmlns:c16="http://schemas.microsoft.com/office/drawing/2014/chart" uri="{C3380CC4-5D6E-409C-BE32-E72D297353CC}">
              <c16:uniqueId val="{00000000-7D67-4ABB-A389-2B504FBB02F1}"/>
            </c:ext>
          </c:extLst>
        </c:ser>
        <c:dLbls>
          <c:showLegendKey val="0"/>
          <c:showVal val="0"/>
          <c:showCatName val="0"/>
          <c:showSerName val="0"/>
          <c:showPercent val="0"/>
          <c:showBubbleSize val="0"/>
        </c:dLbls>
        <c:gapWidth val="182"/>
        <c:axId val="1057930848"/>
        <c:axId val="1057928768"/>
      </c:barChart>
      <c:catAx>
        <c:axId val="1057930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1057928768"/>
        <c:crosses val="autoZero"/>
        <c:auto val="1"/>
        <c:lblAlgn val="ctr"/>
        <c:lblOffset val="100"/>
        <c:noMultiLvlLbl val="0"/>
      </c:catAx>
      <c:valAx>
        <c:axId val="10579287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1057930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vi-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[Cauhoi_Data_chart_Excel.xlsx]Sheet11!PivotTable13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vi-VN" sz="1400" b="0" i="0" u="none" strike="noStrike" baseline="0"/>
              <a:t>Tăng trưởng lũy kế số lượng đơn hàng qua 12 tháng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vi-V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Sheet11!$B$3</c:f>
              <c:strCache>
                <c:ptCount val="1"/>
                <c:pt idx="0">
                  <c:v>Total</c:v>
                </c:pt>
              </c:strCache>
            </c:strRef>
          </c:tx>
          <c:spPr>
            <a:solidFill>
              <a:schemeClr val="accent1"/>
            </a:solidFill>
            <a:ln>
              <a:noFill/>
            </a:ln>
            <a:effectLst/>
          </c:spPr>
          <c:cat>
            <c:strRef>
              <c:f>Sheet11!$A$4:$A$16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Sheet11!$B$4:$B$16</c:f>
              <c:numCache>
                <c:formatCode>General</c:formatCode>
                <c:ptCount val="12"/>
                <c:pt idx="0">
                  <c:v>1070</c:v>
                </c:pt>
                <c:pt idx="1">
                  <c:v>2003</c:v>
                </c:pt>
                <c:pt idx="2">
                  <c:v>2789</c:v>
                </c:pt>
                <c:pt idx="3">
                  <c:v>3581</c:v>
                </c:pt>
                <c:pt idx="4">
                  <c:v>4378</c:v>
                </c:pt>
                <c:pt idx="5">
                  <c:v>5270</c:v>
                </c:pt>
                <c:pt idx="6">
                  <c:v>6158</c:v>
                </c:pt>
                <c:pt idx="7">
                  <c:v>7051</c:v>
                </c:pt>
                <c:pt idx="8">
                  <c:v>8038</c:v>
                </c:pt>
                <c:pt idx="9">
                  <c:v>9044</c:v>
                </c:pt>
                <c:pt idx="10">
                  <c:v>10201</c:v>
                </c:pt>
                <c:pt idx="11">
                  <c:v>11480</c:v>
                </c:pt>
              </c:numCache>
            </c:numRef>
          </c:val>
          <c:extLst>
            <c:ext xmlns:c16="http://schemas.microsoft.com/office/drawing/2014/chart" uri="{C3380CC4-5D6E-409C-BE32-E72D297353CC}">
              <c16:uniqueId val="{00000000-64E6-489F-AE90-E7D29E928083}"/>
            </c:ext>
          </c:extLst>
        </c:ser>
        <c:dLbls>
          <c:showLegendKey val="0"/>
          <c:showVal val="0"/>
          <c:showCatName val="0"/>
          <c:showSerName val="0"/>
          <c:showPercent val="0"/>
          <c:showBubbleSize val="0"/>
        </c:dLbls>
        <c:axId val="1347141376"/>
        <c:axId val="1347138048"/>
      </c:areaChart>
      <c:catAx>
        <c:axId val="13471413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1347138048"/>
        <c:crosses val="autoZero"/>
        <c:auto val="1"/>
        <c:lblAlgn val="ctr"/>
        <c:lblOffset val="100"/>
        <c:noMultiLvlLbl val="0"/>
      </c:catAx>
      <c:valAx>
        <c:axId val="1347138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134714137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vi-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Biểu</a:t>
            </a:r>
            <a:r>
              <a:rPr lang="en-US" baseline="0"/>
              <a:t> đồ phân tán chi phí</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vi-VN"/>
        </a:p>
      </c:txPr>
    </c:title>
    <c:autoTitleDeleted val="0"/>
    <c:plotArea>
      <c:layout>
        <c:manualLayout>
          <c:layoutTarget val="inner"/>
          <c:xMode val="edge"/>
          <c:yMode val="edge"/>
          <c:x val="7.0305970840044044E-2"/>
          <c:y val="0.17714646464646464"/>
          <c:w val="0.86347453183993672"/>
          <c:h val="0.74626149950953102"/>
        </c:manualLayout>
      </c:layout>
      <c:scatterChart>
        <c:scatterStyle val="lineMarker"/>
        <c:varyColors val="0"/>
        <c:ser>
          <c:idx val="0"/>
          <c:order val="0"/>
          <c:tx>
            <c:strRef>
              <c:f>data!$G$1:$G$4</c:f>
              <c:strCache>
                <c:ptCount val="4"/>
                <c:pt idx="3">
                  <c:v>Chi phí QC (trđ)</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data!$F$5:$F$196</c:f>
              <c:numCache>
                <c:formatCode>#,##0.0</c:formatCode>
                <c:ptCount val="192"/>
                <c:pt idx="0">
                  <c:v>1074.8</c:v>
                </c:pt>
                <c:pt idx="1">
                  <c:v>893</c:v>
                </c:pt>
                <c:pt idx="2">
                  <c:v>280.60000000000002</c:v>
                </c:pt>
                <c:pt idx="3">
                  <c:v>380.3</c:v>
                </c:pt>
                <c:pt idx="4">
                  <c:v>824.7</c:v>
                </c:pt>
                <c:pt idx="5">
                  <c:v>771</c:v>
                </c:pt>
                <c:pt idx="6">
                  <c:v>269.8</c:v>
                </c:pt>
                <c:pt idx="7">
                  <c:v>395.1</c:v>
                </c:pt>
                <c:pt idx="8">
                  <c:v>577</c:v>
                </c:pt>
                <c:pt idx="9">
                  <c:v>501.5</c:v>
                </c:pt>
                <c:pt idx="10">
                  <c:v>165</c:v>
                </c:pt>
                <c:pt idx="11">
                  <c:v>212.2</c:v>
                </c:pt>
                <c:pt idx="12">
                  <c:v>429.5</c:v>
                </c:pt>
                <c:pt idx="13">
                  <c:v>319.10000000000002</c:v>
                </c:pt>
                <c:pt idx="14">
                  <c:v>105.4</c:v>
                </c:pt>
                <c:pt idx="15">
                  <c:v>191.8</c:v>
                </c:pt>
                <c:pt idx="16">
                  <c:v>963.8</c:v>
                </c:pt>
                <c:pt idx="17">
                  <c:v>691.5</c:v>
                </c:pt>
                <c:pt idx="18">
                  <c:v>267</c:v>
                </c:pt>
                <c:pt idx="19">
                  <c:v>403.9</c:v>
                </c:pt>
                <c:pt idx="20">
                  <c:v>768.1</c:v>
                </c:pt>
                <c:pt idx="21">
                  <c:v>600.20000000000005</c:v>
                </c:pt>
                <c:pt idx="22">
                  <c:v>187.7</c:v>
                </c:pt>
                <c:pt idx="23">
                  <c:v>334.1</c:v>
                </c:pt>
                <c:pt idx="24">
                  <c:v>548.1</c:v>
                </c:pt>
                <c:pt idx="25">
                  <c:v>351.3</c:v>
                </c:pt>
                <c:pt idx="26">
                  <c:v>127.2</c:v>
                </c:pt>
                <c:pt idx="27">
                  <c:v>199.8</c:v>
                </c:pt>
                <c:pt idx="28">
                  <c:v>356.3</c:v>
                </c:pt>
                <c:pt idx="29">
                  <c:v>275.39999999999998</c:v>
                </c:pt>
                <c:pt idx="30">
                  <c:v>104.1</c:v>
                </c:pt>
                <c:pt idx="31">
                  <c:v>129.30000000000001</c:v>
                </c:pt>
                <c:pt idx="32">
                  <c:v>849</c:v>
                </c:pt>
                <c:pt idx="33">
                  <c:v>689.7</c:v>
                </c:pt>
                <c:pt idx="34">
                  <c:v>191.9</c:v>
                </c:pt>
                <c:pt idx="35">
                  <c:v>319.10000000000002</c:v>
                </c:pt>
                <c:pt idx="36">
                  <c:v>649.29999999999995</c:v>
                </c:pt>
                <c:pt idx="37">
                  <c:v>498.9</c:v>
                </c:pt>
                <c:pt idx="38">
                  <c:v>179.2</c:v>
                </c:pt>
                <c:pt idx="39">
                  <c:v>262.3</c:v>
                </c:pt>
                <c:pt idx="40">
                  <c:v>384</c:v>
                </c:pt>
                <c:pt idx="41">
                  <c:v>377.8</c:v>
                </c:pt>
                <c:pt idx="42">
                  <c:v>109.6</c:v>
                </c:pt>
                <c:pt idx="43">
                  <c:v>175.4</c:v>
                </c:pt>
                <c:pt idx="44">
                  <c:v>281.2</c:v>
                </c:pt>
                <c:pt idx="45">
                  <c:v>266.8</c:v>
                </c:pt>
                <c:pt idx="46">
                  <c:v>83.6</c:v>
                </c:pt>
                <c:pt idx="47">
                  <c:v>118.9</c:v>
                </c:pt>
                <c:pt idx="48">
                  <c:v>701.1</c:v>
                </c:pt>
                <c:pt idx="49">
                  <c:v>613.4</c:v>
                </c:pt>
                <c:pt idx="50">
                  <c:v>228.2</c:v>
                </c:pt>
                <c:pt idx="51">
                  <c:v>306.60000000000002</c:v>
                </c:pt>
                <c:pt idx="52">
                  <c:v>615.6</c:v>
                </c:pt>
                <c:pt idx="53">
                  <c:v>509.6</c:v>
                </c:pt>
                <c:pt idx="54">
                  <c:v>176.7</c:v>
                </c:pt>
                <c:pt idx="55">
                  <c:v>291</c:v>
                </c:pt>
                <c:pt idx="56">
                  <c:v>366.7</c:v>
                </c:pt>
                <c:pt idx="57">
                  <c:v>305.89999999999998</c:v>
                </c:pt>
                <c:pt idx="58">
                  <c:v>115.4</c:v>
                </c:pt>
                <c:pt idx="59">
                  <c:v>185.1</c:v>
                </c:pt>
                <c:pt idx="60">
                  <c:v>292.60000000000002</c:v>
                </c:pt>
                <c:pt idx="61">
                  <c:v>225.2</c:v>
                </c:pt>
                <c:pt idx="62">
                  <c:v>85.4</c:v>
                </c:pt>
                <c:pt idx="63">
                  <c:v>110.5</c:v>
                </c:pt>
                <c:pt idx="64">
                  <c:v>677.3</c:v>
                </c:pt>
                <c:pt idx="65">
                  <c:v>669.1</c:v>
                </c:pt>
                <c:pt idx="66">
                  <c:v>224.1</c:v>
                </c:pt>
                <c:pt idx="67">
                  <c:v>322.8</c:v>
                </c:pt>
                <c:pt idx="68">
                  <c:v>666.5</c:v>
                </c:pt>
                <c:pt idx="69">
                  <c:v>472</c:v>
                </c:pt>
                <c:pt idx="70">
                  <c:v>185.6</c:v>
                </c:pt>
                <c:pt idx="71">
                  <c:v>263.8</c:v>
                </c:pt>
                <c:pt idx="72">
                  <c:v>407.4</c:v>
                </c:pt>
                <c:pt idx="73">
                  <c:v>348.3</c:v>
                </c:pt>
                <c:pt idx="74">
                  <c:v>112.1</c:v>
                </c:pt>
                <c:pt idx="75">
                  <c:v>187.8</c:v>
                </c:pt>
                <c:pt idx="76">
                  <c:v>276.3</c:v>
                </c:pt>
                <c:pt idx="77">
                  <c:v>262.7</c:v>
                </c:pt>
                <c:pt idx="78">
                  <c:v>78</c:v>
                </c:pt>
                <c:pt idx="79">
                  <c:v>121.7</c:v>
                </c:pt>
                <c:pt idx="80">
                  <c:v>876.1</c:v>
                </c:pt>
                <c:pt idx="81">
                  <c:v>579.9</c:v>
                </c:pt>
                <c:pt idx="82">
                  <c:v>237.6</c:v>
                </c:pt>
                <c:pt idx="83">
                  <c:v>355.2</c:v>
                </c:pt>
                <c:pt idx="84">
                  <c:v>639.1</c:v>
                </c:pt>
                <c:pt idx="85">
                  <c:v>595.79999999999995</c:v>
                </c:pt>
                <c:pt idx="86">
                  <c:v>180.5</c:v>
                </c:pt>
                <c:pt idx="87">
                  <c:v>292.10000000000002</c:v>
                </c:pt>
                <c:pt idx="88">
                  <c:v>489.8</c:v>
                </c:pt>
                <c:pt idx="89">
                  <c:v>400</c:v>
                </c:pt>
                <c:pt idx="90">
                  <c:v>128.5</c:v>
                </c:pt>
                <c:pt idx="91">
                  <c:v>177.7</c:v>
                </c:pt>
                <c:pt idx="92">
                  <c:v>283.7</c:v>
                </c:pt>
                <c:pt idx="93">
                  <c:v>277</c:v>
                </c:pt>
                <c:pt idx="94">
                  <c:v>92.1</c:v>
                </c:pt>
                <c:pt idx="95">
                  <c:v>139.9</c:v>
                </c:pt>
                <c:pt idx="96">
                  <c:v>837.5</c:v>
                </c:pt>
                <c:pt idx="97">
                  <c:v>770.4</c:v>
                </c:pt>
                <c:pt idx="98">
                  <c:v>224.6</c:v>
                </c:pt>
                <c:pt idx="99">
                  <c:v>347.8</c:v>
                </c:pt>
                <c:pt idx="100">
                  <c:v>718.8</c:v>
                </c:pt>
                <c:pt idx="101">
                  <c:v>634.4</c:v>
                </c:pt>
                <c:pt idx="102">
                  <c:v>206.9</c:v>
                </c:pt>
                <c:pt idx="103">
                  <c:v>313.2</c:v>
                </c:pt>
                <c:pt idx="104">
                  <c:v>442.8</c:v>
                </c:pt>
                <c:pt idx="105">
                  <c:v>375.4</c:v>
                </c:pt>
                <c:pt idx="106">
                  <c:v>129.5</c:v>
                </c:pt>
                <c:pt idx="107">
                  <c:v>206.3</c:v>
                </c:pt>
                <c:pt idx="108">
                  <c:v>316.39999999999998</c:v>
                </c:pt>
                <c:pt idx="109">
                  <c:v>261.89999999999998</c:v>
                </c:pt>
                <c:pt idx="110">
                  <c:v>98.1</c:v>
                </c:pt>
                <c:pt idx="111">
                  <c:v>154.80000000000001</c:v>
                </c:pt>
                <c:pt idx="112">
                  <c:v>936</c:v>
                </c:pt>
                <c:pt idx="113">
                  <c:v>700.3</c:v>
                </c:pt>
                <c:pt idx="114">
                  <c:v>253.7</c:v>
                </c:pt>
                <c:pt idx="115">
                  <c:v>321.39999999999998</c:v>
                </c:pt>
                <c:pt idx="116">
                  <c:v>744.2</c:v>
                </c:pt>
                <c:pt idx="117">
                  <c:v>628.6</c:v>
                </c:pt>
                <c:pt idx="118">
                  <c:v>198.6</c:v>
                </c:pt>
                <c:pt idx="119">
                  <c:v>310.2</c:v>
                </c:pt>
                <c:pt idx="120">
                  <c:v>463.3</c:v>
                </c:pt>
                <c:pt idx="121">
                  <c:v>420.4</c:v>
                </c:pt>
                <c:pt idx="122">
                  <c:v>132.6</c:v>
                </c:pt>
                <c:pt idx="123">
                  <c:v>193.7</c:v>
                </c:pt>
                <c:pt idx="124">
                  <c:v>338.9</c:v>
                </c:pt>
                <c:pt idx="125">
                  <c:v>290.10000000000002</c:v>
                </c:pt>
                <c:pt idx="126">
                  <c:v>84.6</c:v>
                </c:pt>
                <c:pt idx="127">
                  <c:v>127.6</c:v>
                </c:pt>
                <c:pt idx="128">
                  <c:v>978.4</c:v>
                </c:pt>
                <c:pt idx="129">
                  <c:v>703.5</c:v>
                </c:pt>
                <c:pt idx="130">
                  <c:v>283.60000000000002</c:v>
                </c:pt>
                <c:pt idx="131">
                  <c:v>393.6</c:v>
                </c:pt>
                <c:pt idx="132">
                  <c:v>692.5</c:v>
                </c:pt>
                <c:pt idx="133">
                  <c:v>645.6</c:v>
                </c:pt>
                <c:pt idx="134">
                  <c:v>198</c:v>
                </c:pt>
                <c:pt idx="135">
                  <c:v>347.5</c:v>
                </c:pt>
                <c:pt idx="136">
                  <c:v>483.5</c:v>
                </c:pt>
                <c:pt idx="137">
                  <c:v>432.6</c:v>
                </c:pt>
                <c:pt idx="138">
                  <c:v>125.9</c:v>
                </c:pt>
                <c:pt idx="139">
                  <c:v>189.9</c:v>
                </c:pt>
                <c:pt idx="140">
                  <c:v>361.9</c:v>
                </c:pt>
                <c:pt idx="141">
                  <c:v>324.3</c:v>
                </c:pt>
                <c:pt idx="142">
                  <c:v>104.6</c:v>
                </c:pt>
                <c:pt idx="143">
                  <c:v>160.4</c:v>
                </c:pt>
                <c:pt idx="144">
                  <c:v>984</c:v>
                </c:pt>
                <c:pt idx="145">
                  <c:v>748.2</c:v>
                </c:pt>
                <c:pt idx="146">
                  <c:v>292.7</c:v>
                </c:pt>
                <c:pt idx="147">
                  <c:v>390.5</c:v>
                </c:pt>
                <c:pt idx="148">
                  <c:v>771.5</c:v>
                </c:pt>
                <c:pt idx="149">
                  <c:v>705.9</c:v>
                </c:pt>
                <c:pt idx="150">
                  <c:v>205.2</c:v>
                </c:pt>
                <c:pt idx="151">
                  <c:v>357.5</c:v>
                </c:pt>
                <c:pt idx="152">
                  <c:v>483.9</c:v>
                </c:pt>
                <c:pt idx="153">
                  <c:v>444.2</c:v>
                </c:pt>
                <c:pt idx="154">
                  <c:v>156.19999999999999</c:v>
                </c:pt>
                <c:pt idx="155">
                  <c:v>208</c:v>
                </c:pt>
                <c:pt idx="156">
                  <c:v>393.4</c:v>
                </c:pt>
                <c:pt idx="157">
                  <c:v>315.7</c:v>
                </c:pt>
                <c:pt idx="158">
                  <c:v>101.7</c:v>
                </c:pt>
                <c:pt idx="159">
                  <c:v>148.5</c:v>
                </c:pt>
                <c:pt idx="160">
                  <c:v>1197.5999999999999</c:v>
                </c:pt>
                <c:pt idx="161">
                  <c:v>950.9</c:v>
                </c:pt>
                <c:pt idx="162">
                  <c:v>293.5</c:v>
                </c:pt>
                <c:pt idx="163">
                  <c:v>490.5</c:v>
                </c:pt>
                <c:pt idx="164">
                  <c:v>820.5</c:v>
                </c:pt>
                <c:pt idx="165">
                  <c:v>753.8</c:v>
                </c:pt>
                <c:pt idx="166">
                  <c:v>267.3</c:v>
                </c:pt>
                <c:pt idx="167">
                  <c:v>379</c:v>
                </c:pt>
                <c:pt idx="168">
                  <c:v>660.9</c:v>
                </c:pt>
                <c:pt idx="169">
                  <c:v>508.2</c:v>
                </c:pt>
                <c:pt idx="170">
                  <c:v>168.9</c:v>
                </c:pt>
                <c:pt idx="171">
                  <c:v>214.8</c:v>
                </c:pt>
                <c:pt idx="172">
                  <c:v>402.4</c:v>
                </c:pt>
                <c:pt idx="173">
                  <c:v>365.2</c:v>
                </c:pt>
                <c:pt idx="174">
                  <c:v>122.8</c:v>
                </c:pt>
                <c:pt idx="175">
                  <c:v>183.7</c:v>
                </c:pt>
                <c:pt idx="176">
                  <c:v>1124.5</c:v>
                </c:pt>
                <c:pt idx="177">
                  <c:v>942.9</c:v>
                </c:pt>
                <c:pt idx="178">
                  <c:v>371.9</c:v>
                </c:pt>
                <c:pt idx="179">
                  <c:v>448.6</c:v>
                </c:pt>
                <c:pt idx="180">
                  <c:v>937.3</c:v>
                </c:pt>
                <c:pt idx="181">
                  <c:v>935.7</c:v>
                </c:pt>
                <c:pt idx="182">
                  <c:v>254.2</c:v>
                </c:pt>
                <c:pt idx="183">
                  <c:v>471.5</c:v>
                </c:pt>
                <c:pt idx="184">
                  <c:v>671.1</c:v>
                </c:pt>
                <c:pt idx="185">
                  <c:v>568.6</c:v>
                </c:pt>
                <c:pt idx="186">
                  <c:v>175.5</c:v>
                </c:pt>
                <c:pt idx="187">
                  <c:v>274.39999999999998</c:v>
                </c:pt>
                <c:pt idx="188">
                  <c:v>477.8</c:v>
                </c:pt>
                <c:pt idx="189">
                  <c:v>401.4</c:v>
                </c:pt>
                <c:pt idx="190">
                  <c:v>142.80000000000001</c:v>
                </c:pt>
                <c:pt idx="191">
                  <c:v>204.1</c:v>
                </c:pt>
              </c:numCache>
            </c:numRef>
          </c:xVal>
          <c:yVal>
            <c:numRef>
              <c:f>data!$G$5:$G$196</c:f>
              <c:numCache>
                <c:formatCode>#,##0.0</c:formatCode>
                <c:ptCount val="192"/>
                <c:pt idx="0">
                  <c:v>64.5</c:v>
                </c:pt>
                <c:pt idx="1">
                  <c:v>56.4</c:v>
                </c:pt>
                <c:pt idx="2">
                  <c:v>24.1</c:v>
                </c:pt>
                <c:pt idx="3">
                  <c:v>31.1</c:v>
                </c:pt>
                <c:pt idx="4">
                  <c:v>59.3</c:v>
                </c:pt>
                <c:pt idx="5">
                  <c:v>49</c:v>
                </c:pt>
                <c:pt idx="6">
                  <c:v>25.7</c:v>
                </c:pt>
                <c:pt idx="7">
                  <c:v>36.700000000000003</c:v>
                </c:pt>
                <c:pt idx="8">
                  <c:v>46.1</c:v>
                </c:pt>
                <c:pt idx="9">
                  <c:v>31.2</c:v>
                </c:pt>
                <c:pt idx="10">
                  <c:v>14.3</c:v>
                </c:pt>
                <c:pt idx="11">
                  <c:v>17.600000000000001</c:v>
                </c:pt>
                <c:pt idx="12">
                  <c:v>28.8</c:v>
                </c:pt>
                <c:pt idx="13">
                  <c:v>21.7</c:v>
                </c:pt>
                <c:pt idx="14">
                  <c:v>11.3</c:v>
                </c:pt>
                <c:pt idx="15">
                  <c:v>18</c:v>
                </c:pt>
                <c:pt idx="16">
                  <c:v>73.099999999999994</c:v>
                </c:pt>
                <c:pt idx="17">
                  <c:v>38.6</c:v>
                </c:pt>
                <c:pt idx="18">
                  <c:v>25.2</c:v>
                </c:pt>
                <c:pt idx="19">
                  <c:v>35.9</c:v>
                </c:pt>
                <c:pt idx="20">
                  <c:v>49.9</c:v>
                </c:pt>
                <c:pt idx="21">
                  <c:v>33</c:v>
                </c:pt>
                <c:pt idx="22">
                  <c:v>16.2</c:v>
                </c:pt>
                <c:pt idx="23">
                  <c:v>29.4</c:v>
                </c:pt>
                <c:pt idx="24">
                  <c:v>38.700000000000003</c:v>
                </c:pt>
                <c:pt idx="25">
                  <c:v>22.5</c:v>
                </c:pt>
                <c:pt idx="26">
                  <c:v>13.3</c:v>
                </c:pt>
                <c:pt idx="27">
                  <c:v>20.399999999999999</c:v>
                </c:pt>
                <c:pt idx="28">
                  <c:v>22.5</c:v>
                </c:pt>
                <c:pt idx="29">
                  <c:v>17.2</c:v>
                </c:pt>
                <c:pt idx="30">
                  <c:v>10.5</c:v>
                </c:pt>
                <c:pt idx="31">
                  <c:v>11</c:v>
                </c:pt>
                <c:pt idx="32">
                  <c:v>65.3</c:v>
                </c:pt>
                <c:pt idx="33">
                  <c:v>46.9</c:v>
                </c:pt>
                <c:pt idx="34">
                  <c:v>20.7</c:v>
                </c:pt>
                <c:pt idx="35">
                  <c:v>29.1</c:v>
                </c:pt>
                <c:pt idx="36">
                  <c:v>41.5</c:v>
                </c:pt>
                <c:pt idx="37">
                  <c:v>28.2</c:v>
                </c:pt>
                <c:pt idx="38">
                  <c:v>18</c:v>
                </c:pt>
                <c:pt idx="39">
                  <c:v>24.2</c:v>
                </c:pt>
                <c:pt idx="40">
                  <c:v>27.9</c:v>
                </c:pt>
                <c:pt idx="41">
                  <c:v>19.7</c:v>
                </c:pt>
                <c:pt idx="42">
                  <c:v>9.8000000000000007</c:v>
                </c:pt>
                <c:pt idx="43">
                  <c:v>17.100000000000001</c:v>
                </c:pt>
                <c:pt idx="44">
                  <c:v>19.3</c:v>
                </c:pt>
                <c:pt idx="45">
                  <c:v>16.8</c:v>
                </c:pt>
                <c:pt idx="46">
                  <c:v>8</c:v>
                </c:pt>
                <c:pt idx="47">
                  <c:v>10.5</c:v>
                </c:pt>
                <c:pt idx="48">
                  <c:v>55.3</c:v>
                </c:pt>
                <c:pt idx="49">
                  <c:v>31.8</c:v>
                </c:pt>
                <c:pt idx="50">
                  <c:v>25.7</c:v>
                </c:pt>
                <c:pt idx="51">
                  <c:v>25.2</c:v>
                </c:pt>
                <c:pt idx="52">
                  <c:v>49.4</c:v>
                </c:pt>
                <c:pt idx="53">
                  <c:v>29.9</c:v>
                </c:pt>
                <c:pt idx="54">
                  <c:v>18.8</c:v>
                </c:pt>
                <c:pt idx="55">
                  <c:v>26.8</c:v>
                </c:pt>
                <c:pt idx="56">
                  <c:v>26.3</c:v>
                </c:pt>
                <c:pt idx="57">
                  <c:v>20.9</c:v>
                </c:pt>
                <c:pt idx="58">
                  <c:v>12.1</c:v>
                </c:pt>
                <c:pt idx="59">
                  <c:v>15.4</c:v>
                </c:pt>
                <c:pt idx="60">
                  <c:v>21</c:v>
                </c:pt>
                <c:pt idx="61">
                  <c:v>14.4</c:v>
                </c:pt>
                <c:pt idx="62">
                  <c:v>8</c:v>
                </c:pt>
                <c:pt idx="63">
                  <c:v>9.8000000000000007</c:v>
                </c:pt>
                <c:pt idx="64">
                  <c:v>43.3</c:v>
                </c:pt>
                <c:pt idx="65">
                  <c:v>44.7</c:v>
                </c:pt>
                <c:pt idx="66">
                  <c:v>23.8</c:v>
                </c:pt>
                <c:pt idx="67">
                  <c:v>24.8</c:v>
                </c:pt>
                <c:pt idx="68">
                  <c:v>52.8</c:v>
                </c:pt>
                <c:pt idx="69">
                  <c:v>28.8</c:v>
                </c:pt>
                <c:pt idx="70">
                  <c:v>16.899999999999999</c:v>
                </c:pt>
                <c:pt idx="71">
                  <c:v>26.6</c:v>
                </c:pt>
                <c:pt idx="72">
                  <c:v>26.6</c:v>
                </c:pt>
                <c:pt idx="73">
                  <c:v>19.399999999999999</c:v>
                </c:pt>
                <c:pt idx="74">
                  <c:v>9.6</c:v>
                </c:pt>
                <c:pt idx="75">
                  <c:v>17.100000000000001</c:v>
                </c:pt>
                <c:pt idx="76">
                  <c:v>17.2</c:v>
                </c:pt>
                <c:pt idx="77">
                  <c:v>17.5</c:v>
                </c:pt>
                <c:pt idx="78">
                  <c:v>6.9</c:v>
                </c:pt>
                <c:pt idx="79">
                  <c:v>11.3</c:v>
                </c:pt>
                <c:pt idx="80">
                  <c:v>70.099999999999994</c:v>
                </c:pt>
                <c:pt idx="81">
                  <c:v>37.299999999999997</c:v>
                </c:pt>
                <c:pt idx="82">
                  <c:v>26.4</c:v>
                </c:pt>
                <c:pt idx="83">
                  <c:v>28.2</c:v>
                </c:pt>
                <c:pt idx="84">
                  <c:v>49</c:v>
                </c:pt>
                <c:pt idx="85">
                  <c:v>32.799999999999997</c:v>
                </c:pt>
                <c:pt idx="86">
                  <c:v>20</c:v>
                </c:pt>
                <c:pt idx="87">
                  <c:v>25.5</c:v>
                </c:pt>
                <c:pt idx="88">
                  <c:v>30.3</c:v>
                </c:pt>
                <c:pt idx="89">
                  <c:v>22.3</c:v>
                </c:pt>
                <c:pt idx="90">
                  <c:v>12.1</c:v>
                </c:pt>
                <c:pt idx="91">
                  <c:v>16.399999999999999</c:v>
                </c:pt>
                <c:pt idx="92">
                  <c:v>22.4</c:v>
                </c:pt>
                <c:pt idx="93">
                  <c:v>17.5</c:v>
                </c:pt>
                <c:pt idx="94">
                  <c:v>8.6999999999999993</c:v>
                </c:pt>
                <c:pt idx="95">
                  <c:v>11.8</c:v>
                </c:pt>
                <c:pt idx="96">
                  <c:v>55</c:v>
                </c:pt>
                <c:pt idx="97">
                  <c:v>48.7</c:v>
                </c:pt>
                <c:pt idx="98">
                  <c:v>22.8</c:v>
                </c:pt>
                <c:pt idx="99">
                  <c:v>32.1</c:v>
                </c:pt>
                <c:pt idx="100">
                  <c:v>46</c:v>
                </c:pt>
                <c:pt idx="101">
                  <c:v>34.299999999999997</c:v>
                </c:pt>
                <c:pt idx="102">
                  <c:v>19.7</c:v>
                </c:pt>
                <c:pt idx="103">
                  <c:v>25.9</c:v>
                </c:pt>
                <c:pt idx="104">
                  <c:v>30.8</c:v>
                </c:pt>
                <c:pt idx="105">
                  <c:v>23.4</c:v>
                </c:pt>
                <c:pt idx="106">
                  <c:v>12</c:v>
                </c:pt>
                <c:pt idx="107">
                  <c:v>20.100000000000001</c:v>
                </c:pt>
                <c:pt idx="108">
                  <c:v>25.2</c:v>
                </c:pt>
                <c:pt idx="109">
                  <c:v>17.399999999999999</c:v>
                </c:pt>
                <c:pt idx="110">
                  <c:v>11.2</c:v>
                </c:pt>
                <c:pt idx="111">
                  <c:v>14.4</c:v>
                </c:pt>
                <c:pt idx="112">
                  <c:v>66.5</c:v>
                </c:pt>
                <c:pt idx="113">
                  <c:v>39</c:v>
                </c:pt>
                <c:pt idx="114">
                  <c:v>25.5</c:v>
                </c:pt>
                <c:pt idx="115">
                  <c:v>27.1</c:v>
                </c:pt>
                <c:pt idx="116">
                  <c:v>46.4</c:v>
                </c:pt>
                <c:pt idx="117">
                  <c:v>32.799999999999997</c:v>
                </c:pt>
                <c:pt idx="118">
                  <c:v>18.100000000000001</c:v>
                </c:pt>
                <c:pt idx="119">
                  <c:v>29.6</c:v>
                </c:pt>
                <c:pt idx="120">
                  <c:v>27.6</c:v>
                </c:pt>
                <c:pt idx="121">
                  <c:v>28.7</c:v>
                </c:pt>
                <c:pt idx="122">
                  <c:v>13.7</c:v>
                </c:pt>
                <c:pt idx="123">
                  <c:v>15</c:v>
                </c:pt>
                <c:pt idx="124">
                  <c:v>21.3</c:v>
                </c:pt>
                <c:pt idx="125">
                  <c:v>14.9</c:v>
                </c:pt>
                <c:pt idx="126">
                  <c:v>8.8000000000000007</c:v>
                </c:pt>
                <c:pt idx="127">
                  <c:v>11.1</c:v>
                </c:pt>
                <c:pt idx="128">
                  <c:v>66</c:v>
                </c:pt>
                <c:pt idx="129">
                  <c:v>36.9</c:v>
                </c:pt>
                <c:pt idx="130">
                  <c:v>27.1</c:v>
                </c:pt>
                <c:pt idx="131">
                  <c:v>38.1</c:v>
                </c:pt>
                <c:pt idx="132">
                  <c:v>43.4</c:v>
                </c:pt>
                <c:pt idx="133">
                  <c:v>35.5</c:v>
                </c:pt>
                <c:pt idx="134">
                  <c:v>20.399999999999999</c:v>
                </c:pt>
                <c:pt idx="135">
                  <c:v>35.6</c:v>
                </c:pt>
                <c:pt idx="136">
                  <c:v>35.6</c:v>
                </c:pt>
                <c:pt idx="137">
                  <c:v>22.7</c:v>
                </c:pt>
                <c:pt idx="138">
                  <c:v>13.6</c:v>
                </c:pt>
                <c:pt idx="139">
                  <c:v>19.600000000000001</c:v>
                </c:pt>
                <c:pt idx="140">
                  <c:v>24.3</c:v>
                </c:pt>
                <c:pt idx="141">
                  <c:v>21.3</c:v>
                </c:pt>
                <c:pt idx="142">
                  <c:v>11.5</c:v>
                </c:pt>
                <c:pt idx="143">
                  <c:v>16.5</c:v>
                </c:pt>
                <c:pt idx="144">
                  <c:v>68.5</c:v>
                </c:pt>
                <c:pt idx="145">
                  <c:v>49.6</c:v>
                </c:pt>
                <c:pt idx="146">
                  <c:v>27</c:v>
                </c:pt>
                <c:pt idx="147">
                  <c:v>30.2</c:v>
                </c:pt>
                <c:pt idx="148">
                  <c:v>58.8</c:v>
                </c:pt>
                <c:pt idx="149">
                  <c:v>39.5</c:v>
                </c:pt>
                <c:pt idx="150">
                  <c:v>21.9</c:v>
                </c:pt>
                <c:pt idx="151">
                  <c:v>33.6</c:v>
                </c:pt>
                <c:pt idx="152">
                  <c:v>31</c:v>
                </c:pt>
                <c:pt idx="153">
                  <c:v>26.4</c:v>
                </c:pt>
                <c:pt idx="154">
                  <c:v>14.8</c:v>
                </c:pt>
                <c:pt idx="155">
                  <c:v>16.600000000000001</c:v>
                </c:pt>
                <c:pt idx="156">
                  <c:v>29.7</c:v>
                </c:pt>
                <c:pt idx="157">
                  <c:v>20.2</c:v>
                </c:pt>
                <c:pt idx="158">
                  <c:v>9</c:v>
                </c:pt>
                <c:pt idx="159">
                  <c:v>11.4</c:v>
                </c:pt>
                <c:pt idx="160">
                  <c:v>85.2</c:v>
                </c:pt>
                <c:pt idx="161">
                  <c:v>56.9</c:v>
                </c:pt>
                <c:pt idx="162">
                  <c:v>28.8</c:v>
                </c:pt>
                <c:pt idx="163">
                  <c:v>43.9</c:v>
                </c:pt>
                <c:pt idx="164">
                  <c:v>59.7</c:v>
                </c:pt>
                <c:pt idx="165">
                  <c:v>42.6</c:v>
                </c:pt>
                <c:pt idx="166">
                  <c:v>27.6</c:v>
                </c:pt>
                <c:pt idx="167">
                  <c:v>33.6</c:v>
                </c:pt>
                <c:pt idx="168">
                  <c:v>43.6</c:v>
                </c:pt>
                <c:pt idx="169">
                  <c:v>34.6</c:v>
                </c:pt>
                <c:pt idx="170">
                  <c:v>15.2</c:v>
                </c:pt>
                <c:pt idx="171">
                  <c:v>19</c:v>
                </c:pt>
                <c:pt idx="172">
                  <c:v>29.9</c:v>
                </c:pt>
                <c:pt idx="173">
                  <c:v>24.7</c:v>
                </c:pt>
                <c:pt idx="174">
                  <c:v>13.9</c:v>
                </c:pt>
                <c:pt idx="175">
                  <c:v>18.600000000000001</c:v>
                </c:pt>
                <c:pt idx="176">
                  <c:v>74.2</c:v>
                </c:pt>
                <c:pt idx="177">
                  <c:v>50.2</c:v>
                </c:pt>
                <c:pt idx="178">
                  <c:v>37.200000000000003</c:v>
                </c:pt>
                <c:pt idx="179">
                  <c:v>39.6</c:v>
                </c:pt>
                <c:pt idx="180">
                  <c:v>74.7</c:v>
                </c:pt>
                <c:pt idx="181">
                  <c:v>64.599999999999994</c:v>
                </c:pt>
                <c:pt idx="182">
                  <c:v>27.4</c:v>
                </c:pt>
                <c:pt idx="183">
                  <c:v>38.4</c:v>
                </c:pt>
                <c:pt idx="184">
                  <c:v>41.2</c:v>
                </c:pt>
                <c:pt idx="185">
                  <c:v>37.799999999999997</c:v>
                </c:pt>
                <c:pt idx="186">
                  <c:v>19.899999999999999</c:v>
                </c:pt>
                <c:pt idx="187">
                  <c:v>23.3</c:v>
                </c:pt>
                <c:pt idx="188">
                  <c:v>33.6</c:v>
                </c:pt>
                <c:pt idx="189">
                  <c:v>23.5</c:v>
                </c:pt>
                <c:pt idx="190">
                  <c:v>14.8</c:v>
                </c:pt>
                <c:pt idx="191">
                  <c:v>20.7</c:v>
                </c:pt>
              </c:numCache>
            </c:numRef>
          </c:yVal>
          <c:smooth val="0"/>
          <c:extLst>
            <c:ext xmlns:c16="http://schemas.microsoft.com/office/drawing/2014/chart" uri="{C3380CC4-5D6E-409C-BE32-E72D297353CC}">
              <c16:uniqueId val="{00000000-854C-4625-AB91-227CC1655036}"/>
            </c:ext>
          </c:extLst>
        </c:ser>
        <c:dLbls>
          <c:showLegendKey val="0"/>
          <c:showVal val="0"/>
          <c:showCatName val="0"/>
          <c:showSerName val="0"/>
          <c:showPercent val="0"/>
          <c:showBubbleSize val="0"/>
        </c:dLbls>
        <c:axId val="1363287872"/>
        <c:axId val="1363289952"/>
      </c:scatterChart>
      <c:valAx>
        <c:axId val="1363287872"/>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1363289952"/>
        <c:crosses val="autoZero"/>
        <c:crossBetween val="midCat"/>
      </c:valAx>
      <c:valAx>
        <c:axId val="136328995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136328787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vi-VN"/>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[Cauhoi_Data_chart_Excel.xlsx]Câu hỏi 1!PivotTable1</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Doanh thu 12 tháng</a:t>
            </a:r>
          </a:p>
        </c:rich>
      </c:tx>
      <c:layout>
        <c:manualLayout>
          <c:xMode val="edge"/>
          <c:yMode val="edge"/>
          <c:x val="0.3547817761814861"/>
          <c:y val="0.1037823170654392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vi-V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vi-VN"/>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63692038495188E-2"/>
          <c:y val="0.26791447944006996"/>
          <c:w val="0.71283508311461063"/>
          <c:h val="0.54207239720034994"/>
        </c:manualLayout>
      </c:layout>
      <c:lineChart>
        <c:grouping val="standard"/>
        <c:varyColors val="0"/>
        <c:ser>
          <c:idx val="0"/>
          <c:order val="0"/>
          <c:tx>
            <c:strRef>
              <c:f>'Câu hỏi 1'!$B$3</c:f>
              <c:strCache>
                <c:ptCount val="1"/>
                <c:pt idx="0">
                  <c:v>Total</c:v>
                </c:pt>
              </c:strCache>
            </c:strRef>
          </c:tx>
          <c:spPr>
            <a:ln w="28575" cap="rnd">
              <a:solidFill>
                <a:schemeClr val="accent1"/>
              </a:solidFill>
              <a:round/>
            </a:ln>
            <a:effectLst/>
          </c:spPr>
          <c:marker>
            <c:symbol val="none"/>
          </c:marker>
          <c:cat>
            <c:strRef>
              <c:f>'Câu hỏi 1'!$A$4:$A$16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'Câu hỏi 1'!$B$4:$B$16</c:f>
              <c:numCache>
                <c:formatCode>General</c:formatCode>
                <c:ptCount val="12"/>
                <c:pt idx="0">
                  <c:v>7390.8000000000011</c:v>
                </c:pt>
                <c:pt idx="1">
                  <c:v>6307.8000000000011</c:v>
                </c:pt>
                <c:pt idx="2">
                  <c:v>5436.7</c:v>
                </c:pt>
                <c:pt idx="3">
                  <c:v>5128.9999999999991</c:v>
                </c:pt>
                <c:pt idx="4">
                  <c:v>5275.5000000000009</c:v>
                </c:pt>
                <c:pt idx="5">
                  <c:v>5744.9999999999991</c:v>
                </c:pt>
                <c:pt idx="6">
                  <c:v>6038.8</c:v>
                </c:pt>
                <c:pt idx="7">
                  <c:v>6144.2000000000007</c:v>
                </c:pt>
                <c:pt idx="8">
                  <c:v>6425.7999999999993</c:v>
                </c:pt>
                <c:pt idx="9">
                  <c:v>6707.0999999999985</c:v>
                </c:pt>
                <c:pt idx="10">
                  <c:v>7779.9999999999991</c:v>
                </c:pt>
                <c:pt idx="11">
                  <c:v>8402.2999999999993</c:v>
                </c:pt>
              </c:numCache>
            </c:numRef>
          </c:val>
          <c:smooth val="0"/>
          <c:extLst>
            <c:ext xmlns:c16="http://schemas.microsoft.com/office/drawing/2014/chart" uri="{C3380CC4-5D6E-409C-BE32-E72D297353CC}">
              <c16:uniqueId val="{00000000-7B94-46D5-A30C-B9D8C2A63947}"/>
            </c:ext>
          </c:extLst>
        </c:ser>
        <c:dLbls>
          <c:showLegendKey val="0"/>
          <c:showVal val="0"/>
          <c:showCatName val="0"/>
          <c:showSerName val="0"/>
          <c:showPercent val="0"/>
          <c:showBubbleSize val="0"/>
        </c:dLbls>
        <c:smooth val="0"/>
        <c:axId val="1046936176"/>
        <c:axId val="1046939504"/>
      </c:lineChart>
      <c:catAx>
        <c:axId val="1046936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vi-VN"/>
          </a:p>
        </c:txPr>
        <c:crossAx val="1046939504"/>
        <c:crosses val="autoZero"/>
        <c:auto val="1"/>
        <c:lblAlgn val="ctr"/>
        <c:lblOffset val="100"/>
        <c:noMultiLvlLbl val="0"/>
      </c:catAx>
      <c:valAx>
        <c:axId val="1046939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vi-VN"/>
          </a:p>
        </c:txPr>
        <c:crossAx val="1046936176"/>
        <c:crosses val="autoZero"/>
        <c:crossBetween val="between"/>
      </c:valAx>
      <c:spPr>
        <a:noFill/>
        <a:ln>
          <a:solidFill>
            <a:schemeClr val="accent1">
              <a:alpha val="98000"/>
            </a:schemeClr>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vi-VN"/>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vi-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[Cauhoi_Data_chart_Excel.xlsx]Câu hỏi 2!PivotTable2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vi-VN" sz="1400" b="0" i="0" u="none" strike="noStrike" baseline="0"/>
              <a:t>Tổng doanh thu cả năm theo Chi nhánh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vi-V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glow rad="127000">
              <a:schemeClr val="bg1"/>
            </a:glow>
          </a:effectLst>
        </c:spPr>
      </c:pivotFmt>
      <c:pivotFmt>
        <c:idx val="2"/>
        <c:spPr>
          <a:solidFill>
            <a:srgbClr val="FF0000"/>
          </a:solidFill>
          <a:ln>
            <a:noFill/>
          </a:ln>
          <a:effectLst/>
        </c:spPr>
      </c:pivotFmt>
      <c:pivotFmt>
        <c:idx val="3"/>
        <c:spPr>
          <a:solidFill>
            <a:schemeClr val="bg2">
              <a:lumMod val="50000"/>
            </a:schemeClr>
          </a:solidFill>
          <a:ln>
            <a:noFill/>
          </a:ln>
          <a:effectLst/>
        </c:spPr>
      </c:pivotFmt>
      <c:pivotFmt>
        <c:idx val="4"/>
        <c:spPr>
          <a:solidFill>
            <a:schemeClr val="bg2">
              <a:lumMod val="50000"/>
            </a:schemeClr>
          </a:solidFill>
          <a:ln>
            <a:noFill/>
          </a:ln>
          <a:effectLst/>
        </c:spPr>
      </c:pivotFmt>
    </c:pivotFmts>
    <c:plotArea>
      <c:layout/>
      <c:barChart>
        <c:barDir val="col"/>
        <c:grouping val="clustered"/>
        <c:varyColors val="0"/>
        <c:ser>
          <c:idx val="0"/>
          <c:order val="0"/>
          <c:tx>
            <c:strRef>
              <c:f>'Câu hỏi 2'!$B$3</c:f>
              <c:strCache>
                <c:ptCount val="1"/>
                <c:pt idx="0">
                  <c:v>Total</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3-AB3E-4489-BAA3-01DB5F3B5C29}"/>
              </c:ext>
            </c:extLst>
          </c:dPt>
          <c:dPt>
            <c:idx val="1"/>
            <c:invertIfNegative val="0"/>
            <c:bubble3D val="0"/>
            <c:spPr>
              <a:solidFill>
                <a:schemeClr val="bg2">
                  <a:lumMod val="50000"/>
                </a:schemeClr>
              </a:solidFill>
              <a:ln>
                <a:noFill/>
              </a:ln>
              <a:effectLst/>
            </c:spPr>
            <c:extLst>
              <c:ext xmlns:c16="http://schemas.microsoft.com/office/drawing/2014/chart" uri="{C3380CC4-5D6E-409C-BE32-E72D297353CC}">
                <c16:uniqueId val="{00000005-AB3E-4489-BAA3-01DB5F3B5C29}"/>
              </c:ext>
            </c:extLst>
          </c:dPt>
          <c:dPt>
            <c:idx val="2"/>
            <c:invertIfNegative val="0"/>
            <c:bubble3D val="0"/>
            <c:spPr>
              <a:solidFill>
                <a:schemeClr val="bg2">
                  <a:lumMod val="50000"/>
                </a:schemeClr>
              </a:solidFill>
              <a:ln>
                <a:noFill/>
              </a:ln>
              <a:effectLst/>
            </c:spPr>
            <c:extLst>
              <c:ext xmlns:c16="http://schemas.microsoft.com/office/drawing/2014/chart" uri="{C3380CC4-5D6E-409C-BE32-E72D297353CC}">
                <c16:uniqueId val="{00000004-AB3E-4489-BAA3-01DB5F3B5C29}"/>
              </c:ext>
            </c:extLst>
          </c:dPt>
          <c:dPt>
            <c:idx val="3"/>
            <c:invertIfNegative val="0"/>
            <c:bubble3D val="0"/>
            <c:spPr>
              <a:solidFill>
                <a:schemeClr val="accent6"/>
              </a:solidFill>
              <a:ln>
                <a:noFill/>
              </a:ln>
              <a:effectLst>
                <a:glow rad="127000">
                  <a:schemeClr val="bg1"/>
                </a:glow>
              </a:effectLst>
            </c:spPr>
            <c:extLst>
              <c:ext xmlns:c16="http://schemas.microsoft.com/office/drawing/2014/chart" uri="{C3380CC4-5D6E-409C-BE32-E72D297353CC}">
                <c16:uniqueId val="{00000002-AB3E-4489-BAA3-01DB5F3B5C29}"/>
              </c:ext>
            </c:extLst>
          </c:dPt>
          <c:cat>
            <c:strRef>
              <c:f>'Câu hỏi 2'!$A$4:$A$8</c:f>
              <c:strCache>
                <c:ptCount val="4"/>
                <c:pt idx="0">
                  <c:v>Cần Thơ</c:v>
                </c:pt>
                <c:pt idx="1">
                  <c:v>Đà Nẵng</c:v>
                </c:pt>
                <c:pt idx="2">
                  <c:v>Hà Nội</c:v>
                </c:pt>
                <c:pt idx="3">
                  <c:v>TP.HCM</c:v>
                </c:pt>
              </c:strCache>
            </c:strRef>
          </c:cat>
          <c:val>
            <c:numRef>
              <c:f>'Câu hỏi 2'!$B$4:$B$8</c:f>
              <c:numCache>
                <c:formatCode>General</c:formatCode>
                <c:ptCount val="4"/>
                <c:pt idx="0">
                  <c:v>10789.6</c:v>
                </c:pt>
                <c:pt idx="1">
                  <c:v>15084.2</c:v>
                </c:pt>
                <c:pt idx="2">
                  <c:v>23126.600000000002</c:v>
                </c:pt>
                <c:pt idx="3">
                  <c:v>27782.600000000006</c:v>
                </c:pt>
              </c:numCache>
            </c:numRef>
          </c:val>
          <c:extLst>
            <c:ext xmlns:c16="http://schemas.microsoft.com/office/drawing/2014/chart" uri="{C3380CC4-5D6E-409C-BE32-E72D297353CC}">
              <c16:uniqueId val="{00000000-AB3E-4489-BAA3-01DB5F3B5C29}"/>
            </c:ext>
          </c:extLst>
        </c:ser>
        <c:dLbls>
          <c:showLegendKey val="0"/>
          <c:showVal val="0"/>
          <c:showCatName val="0"/>
          <c:showSerName val="0"/>
          <c:showPercent val="0"/>
          <c:showBubbleSize val="0"/>
        </c:dLbls>
        <c:gapWidth val="219"/>
        <c:overlap val="-27"/>
        <c:axId val="1360148400"/>
        <c:axId val="1370229696"/>
      </c:barChart>
      <c:catAx>
        <c:axId val="1360148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1370229696"/>
        <c:crosses val="autoZero"/>
        <c:auto val="1"/>
        <c:lblAlgn val="ctr"/>
        <c:lblOffset val="100"/>
        <c:noMultiLvlLbl val="0"/>
      </c:catAx>
      <c:valAx>
        <c:axId val="1370229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1360148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vi-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[Cauhoi_Data_chart_Excel.xlsx]Câu hỏi 3!PivotTable3</c:name>
    <c:fmtId val="1"/>
  </c:pivotSource>
  <c:chart>
    <c:title>
      <c:tx>
        <c:rich>
          <a:bodyPr rot="0" spcFirstLastPara="1" vertOverflow="ellipsis" vert="horz" wrap="square" anchor="t" anchorCtr="0"/>
          <a:lstStyle/>
          <a:p>
            <a:pPr>
              <a:defRPr sz="1400" b="0" i="0" u="none" strike="noStrike" kern="1200" spc="0" baseline="0">
                <a:ln>
                  <a:noFill/>
                </a:ln>
                <a:solidFill>
                  <a:schemeClr val="tx1"/>
                </a:solidFill>
                <a:latin typeface="+mn-lt"/>
                <a:ea typeface="+mn-ea"/>
                <a:cs typeface="+mn-cs"/>
              </a:defRPr>
            </a:pPr>
            <a:r>
              <a:rPr lang="en-US"/>
              <a:t>Doanh thu theo sản</a:t>
            </a:r>
            <a:r>
              <a:rPr lang="en-US" baseline="0"/>
              <a:t> phẩm</a:t>
            </a:r>
            <a:endParaRPr lang="en-US"/>
          </a:p>
        </c:rich>
      </c:tx>
      <c:overlay val="0"/>
      <c:spPr>
        <a:noFill/>
        <a:ln>
          <a:noFill/>
        </a:ln>
        <a:effectLst/>
      </c:spPr>
      <c:txPr>
        <a:bodyPr rot="0" spcFirstLastPara="1" vertOverflow="ellipsis" vert="horz" wrap="square" anchor="t" anchorCtr="0"/>
        <a:lstStyle/>
        <a:p>
          <a:pPr>
            <a:defRPr sz="1400" b="0" i="0" u="none" strike="noStrike" kern="1200" spc="0" baseline="0">
              <a:ln>
                <a:noFill/>
              </a:ln>
              <a:solidFill>
                <a:schemeClr val="tx1"/>
              </a:solidFill>
              <a:latin typeface="+mn-lt"/>
              <a:ea typeface="+mn-ea"/>
              <a:cs typeface="+mn-cs"/>
            </a:defRPr>
          </a:pPr>
          <a:endParaRPr lang="vi-V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vi-V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rgbClr val="FFC000"/>
          </a:solidFill>
          <a:ln w="19050">
            <a:solidFill>
              <a:schemeClr val="lt1"/>
            </a:solidFill>
          </a:ln>
          <a:effectLst/>
        </c:spPr>
      </c:pivotFmt>
    </c:pivotFmts>
    <c:plotArea>
      <c:layout/>
      <c:pieChart>
        <c:varyColors val="1"/>
        <c:ser>
          <c:idx val="0"/>
          <c:order val="0"/>
          <c:tx>
            <c:strRef>
              <c:f>'Câu hỏi 3'!$B$3</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2-9119-4543-A944-4825B0F2916A}"/>
              </c:ext>
            </c:extLst>
          </c:dPt>
          <c:dPt>
            <c:idx val="1"/>
            <c:bubble3D val="0"/>
            <c:spPr>
              <a:solidFill>
                <a:schemeClr val="accent2"/>
              </a:solidFill>
              <a:ln w="19050">
                <a:solidFill>
                  <a:schemeClr val="lt1"/>
                </a:solidFill>
              </a:ln>
              <a:effectLst/>
            </c:spPr>
          </c:dPt>
          <c:dPt>
            <c:idx val="2"/>
            <c:bubble3D val="0"/>
            <c:spPr>
              <a:solidFill>
                <a:srgbClr val="FFC000"/>
              </a:solidFill>
              <a:ln w="19050">
                <a:solidFill>
                  <a:schemeClr val="lt1"/>
                </a:solidFill>
              </a:ln>
              <a:effectLst/>
            </c:spPr>
            <c:extLst>
              <c:ext xmlns:c16="http://schemas.microsoft.com/office/drawing/2014/chart" uri="{C3380CC4-5D6E-409C-BE32-E72D297353CC}">
                <c16:uniqueId val="{00000004-9119-4543-A944-4825B0F2916A}"/>
              </c:ext>
            </c:extLst>
          </c:dPt>
          <c:dPt>
            <c:idx val="3"/>
            <c:bubble3D val="0"/>
            <c:spPr>
              <a:solidFill>
                <a:schemeClr val="accent1"/>
              </a:solidFill>
              <a:ln w="19050">
                <a:solidFill>
                  <a:schemeClr val="lt1"/>
                </a:solidFill>
              </a:ln>
              <a:effectLst/>
            </c:spPr>
            <c:extLst>
              <c:ext xmlns:c16="http://schemas.microsoft.com/office/drawing/2014/chart" uri="{C3380CC4-5D6E-409C-BE32-E72D297353CC}">
                <c16:uniqueId val="{00000003-9119-4543-A944-4825B0F2916A}"/>
              </c:ext>
            </c:extLst>
          </c:dPt>
          <c:cat>
            <c:strRef>
              <c:f>'Câu hỏi 3'!$A$4:$A$8</c:f>
              <c:strCache>
                <c:ptCount val="4"/>
                <c:pt idx="0">
                  <c:v>Điện thoại</c:v>
                </c:pt>
                <c:pt idx="1">
                  <c:v>Đồng hồ</c:v>
                </c:pt>
                <c:pt idx="2">
                  <c:v>Laptop</c:v>
                </c:pt>
                <c:pt idx="3">
                  <c:v>Phụ kiện</c:v>
                </c:pt>
              </c:strCache>
            </c:strRef>
          </c:cat>
          <c:val>
            <c:numRef>
              <c:f>'Câu hỏi 3'!$B$4:$B$8</c:f>
              <c:numCache>
                <c:formatCode>General</c:formatCode>
                <c:ptCount val="4"/>
                <c:pt idx="0">
                  <c:v>30237.100000000006</c:v>
                </c:pt>
                <c:pt idx="1">
                  <c:v>12713.9</c:v>
                </c:pt>
                <c:pt idx="2">
                  <c:v>25323.300000000003</c:v>
                </c:pt>
                <c:pt idx="3">
                  <c:v>8508.6999999999989</c:v>
                </c:pt>
              </c:numCache>
            </c:numRef>
          </c:val>
          <c:extLst>
            <c:ext xmlns:c16="http://schemas.microsoft.com/office/drawing/2014/chart" uri="{C3380CC4-5D6E-409C-BE32-E72D297353CC}">
              <c16:uniqueId val="{00000000-9119-4543-A944-4825B0F2916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vi-VN"/>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ln>
            <a:noFill/>
          </a:ln>
          <a:solidFill>
            <a:schemeClr val="tx1"/>
          </a:solidFill>
        </a:defRPr>
      </a:pPr>
      <a:endParaRPr lang="vi-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[Cauhoi_Data_chart_Excel.xlsx]Câu hỏi 4!PivotTable4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Doanh thu chi nhanh theo quý</a:t>
            </a:r>
            <a:endParaRPr lang="vi-V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vi-V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'Câu hỏi 4'!$B$3:$B$4</c:f>
              <c:strCache>
                <c:ptCount val="1"/>
                <c:pt idx="0">
                  <c:v>Cần Thơ</c:v>
                </c:pt>
              </c:strCache>
            </c:strRef>
          </c:tx>
          <c:spPr>
            <a:solidFill>
              <a:schemeClr val="accent1"/>
            </a:solidFill>
            <a:ln>
              <a:noFill/>
            </a:ln>
            <a:effectLst/>
          </c:spPr>
          <c:invertIfNegative val="0"/>
          <c:cat>
            <c:strRef>
              <c:f>'Câu hỏi 4'!$A$5:$A$9</c:f>
              <c:strCache>
                <c:ptCount val="4"/>
                <c:pt idx="0">
                  <c:v>Quý 1</c:v>
                </c:pt>
                <c:pt idx="1">
                  <c:v>Quý 2</c:v>
                </c:pt>
                <c:pt idx="2">
                  <c:v>Quý 3</c:v>
                </c:pt>
                <c:pt idx="3">
                  <c:v>Quý 4</c:v>
                </c:pt>
              </c:strCache>
            </c:strRef>
          </c:cat>
          <c:val>
            <c:numRef>
              <c:f>'Câu hỏi 4'!$B$5:$B$9</c:f>
              <c:numCache>
                <c:formatCode>General</c:formatCode>
                <c:ptCount val="4"/>
                <c:pt idx="0">
                  <c:v>2661.4</c:v>
                </c:pt>
                <c:pt idx="1">
                  <c:v>2245.1000000000004</c:v>
                </c:pt>
                <c:pt idx="2">
                  <c:v>2623.6</c:v>
                </c:pt>
                <c:pt idx="3">
                  <c:v>3259.5</c:v>
                </c:pt>
              </c:numCache>
            </c:numRef>
          </c:val>
          <c:extLst>
            <c:ext xmlns:c16="http://schemas.microsoft.com/office/drawing/2014/chart" uri="{C3380CC4-5D6E-409C-BE32-E72D297353CC}">
              <c16:uniqueId val="{00000000-A20A-4A3A-94A5-79B4B3171F74}"/>
            </c:ext>
          </c:extLst>
        </c:ser>
        <c:ser>
          <c:idx val="1"/>
          <c:order val="1"/>
          <c:tx>
            <c:strRef>
              <c:f>'Câu hỏi 4'!$C$3:$C$4</c:f>
              <c:strCache>
                <c:ptCount val="1"/>
                <c:pt idx="0">
                  <c:v>Đà Nẵng</c:v>
                </c:pt>
              </c:strCache>
            </c:strRef>
          </c:tx>
          <c:spPr>
            <a:solidFill>
              <a:schemeClr val="accent2"/>
            </a:solidFill>
            <a:ln>
              <a:noFill/>
            </a:ln>
            <a:effectLst/>
          </c:spPr>
          <c:invertIfNegative val="0"/>
          <c:cat>
            <c:strRef>
              <c:f>'Câu hỏi 4'!$A$5:$A$9</c:f>
              <c:strCache>
                <c:ptCount val="4"/>
                <c:pt idx="0">
                  <c:v>Quý 1</c:v>
                </c:pt>
                <c:pt idx="1">
                  <c:v>Quý 2</c:v>
                </c:pt>
                <c:pt idx="2">
                  <c:v>Quý 3</c:v>
                </c:pt>
                <c:pt idx="3">
                  <c:v>Quý 4</c:v>
                </c:pt>
              </c:strCache>
            </c:strRef>
          </c:cat>
          <c:val>
            <c:numRef>
              <c:f>'Câu hỏi 4'!$C$5:$C$9</c:f>
              <c:numCache>
                <c:formatCode>General</c:formatCode>
                <c:ptCount val="4"/>
                <c:pt idx="0">
                  <c:v>3728.9000000000005</c:v>
                </c:pt>
                <c:pt idx="1">
                  <c:v>3224.7</c:v>
                </c:pt>
                <c:pt idx="2">
                  <c:v>3595.8999999999996</c:v>
                </c:pt>
                <c:pt idx="3">
                  <c:v>4534.6999999999989</c:v>
                </c:pt>
              </c:numCache>
            </c:numRef>
          </c:val>
          <c:extLst>
            <c:ext xmlns:c16="http://schemas.microsoft.com/office/drawing/2014/chart" uri="{C3380CC4-5D6E-409C-BE32-E72D297353CC}">
              <c16:uniqueId val="{00000001-A20A-4A3A-94A5-79B4B3171F74}"/>
            </c:ext>
          </c:extLst>
        </c:ser>
        <c:ser>
          <c:idx val="2"/>
          <c:order val="2"/>
          <c:tx>
            <c:strRef>
              <c:f>'Câu hỏi 4'!$D$3:$D$4</c:f>
              <c:strCache>
                <c:ptCount val="1"/>
                <c:pt idx="0">
                  <c:v>Hà Nội</c:v>
                </c:pt>
              </c:strCache>
            </c:strRef>
          </c:tx>
          <c:spPr>
            <a:solidFill>
              <a:schemeClr val="accent4"/>
            </a:solidFill>
            <a:ln>
              <a:noFill/>
            </a:ln>
            <a:effectLst/>
          </c:spPr>
          <c:invertIfNegative val="0"/>
          <c:cat>
            <c:strRef>
              <c:f>'Câu hỏi 4'!$A$5:$A$9</c:f>
              <c:strCache>
                <c:ptCount val="4"/>
                <c:pt idx="0">
                  <c:v>Quý 1</c:v>
                </c:pt>
                <c:pt idx="1">
                  <c:v>Quý 2</c:v>
                </c:pt>
                <c:pt idx="2">
                  <c:v>Quý 3</c:v>
                </c:pt>
                <c:pt idx="3">
                  <c:v>Quý 4</c:v>
                </c:pt>
              </c:strCache>
            </c:strRef>
          </c:cat>
          <c:val>
            <c:numRef>
              <c:f>'Câu hỏi 4'!$D$5:$D$9</c:f>
              <c:numCache>
                <c:formatCode>General</c:formatCode>
                <c:ptCount val="4"/>
                <c:pt idx="0">
                  <c:v>5740.4</c:v>
                </c:pt>
                <c:pt idx="1">
                  <c:v>4888.3</c:v>
                </c:pt>
                <c:pt idx="2">
                  <c:v>5638.5</c:v>
                </c:pt>
                <c:pt idx="3">
                  <c:v>6859.4000000000005</c:v>
                </c:pt>
              </c:numCache>
            </c:numRef>
          </c:val>
          <c:extLst>
            <c:ext xmlns:c16="http://schemas.microsoft.com/office/drawing/2014/chart" uri="{C3380CC4-5D6E-409C-BE32-E72D297353CC}">
              <c16:uniqueId val="{00000002-A20A-4A3A-94A5-79B4B3171F74}"/>
            </c:ext>
          </c:extLst>
        </c:ser>
        <c:ser>
          <c:idx val="3"/>
          <c:order val="3"/>
          <c:tx>
            <c:strRef>
              <c:f>'Câu hỏi 4'!$E$3:$E$4</c:f>
              <c:strCache>
                <c:ptCount val="1"/>
                <c:pt idx="0">
                  <c:v>TP.HCM</c:v>
                </c:pt>
              </c:strCache>
            </c:strRef>
          </c:tx>
          <c:spPr>
            <a:solidFill>
              <a:schemeClr val="accent6"/>
            </a:solidFill>
            <a:ln>
              <a:noFill/>
            </a:ln>
            <a:effectLst/>
          </c:spPr>
          <c:invertIfNegative val="0"/>
          <c:cat>
            <c:strRef>
              <c:f>'Câu hỏi 4'!$A$5:$A$9</c:f>
              <c:strCache>
                <c:ptCount val="4"/>
                <c:pt idx="0">
                  <c:v>Quý 1</c:v>
                </c:pt>
                <c:pt idx="1">
                  <c:v>Quý 2</c:v>
                </c:pt>
                <c:pt idx="2">
                  <c:v>Quý 3</c:v>
                </c:pt>
                <c:pt idx="3">
                  <c:v>Quý 4</c:v>
                </c:pt>
              </c:strCache>
            </c:strRef>
          </c:cat>
          <c:val>
            <c:numRef>
              <c:f>'Câu hỏi 4'!$E$5:$E$9</c:f>
              <c:numCache>
                <c:formatCode>General</c:formatCode>
                <c:ptCount val="4"/>
                <c:pt idx="0">
                  <c:v>7004.5999999999995</c:v>
                </c:pt>
                <c:pt idx="1">
                  <c:v>5791.4000000000005</c:v>
                </c:pt>
                <c:pt idx="2">
                  <c:v>6750.8</c:v>
                </c:pt>
                <c:pt idx="3">
                  <c:v>8235.7999999999993</c:v>
                </c:pt>
              </c:numCache>
            </c:numRef>
          </c:val>
          <c:extLst>
            <c:ext xmlns:c16="http://schemas.microsoft.com/office/drawing/2014/chart" uri="{C3380CC4-5D6E-409C-BE32-E72D297353CC}">
              <c16:uniqueId val="{00000003-A20A-4A3A-94A5-79B4B3171F74}"/>
            </c:ext>
          </c:extLst>
        </c:ser>
        <c:dLbls>
          <c:showLegendKey val="0"/>
          <c:showVal val="0"/>
          <c:showCatName val="0"/>
          <c:showSerName val="0"/>
          <c:showPercent val="0"/>
          <c:showBubbleSize val="0"/>
        </c:dLbls>
        <c:gapWidth val="150"/>
        <c:overlap val="100"/>
        <c:axId val="1361216576"/>
        <c:axId val="1361230304"/>
      </c:barChart>
      <c:catAx>
        <c:axId val="1361216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1361230304"/>
        <c:crosses val="autoZero"/>
        <c:auto val="1"/>
        <c:lblAlgn val="ctr"/>
        <c:lblOffset val="100"/>
        <c:noMultiLvlLbl val="0"/>
      </c:catAx>
      <c:valAx>
        <c:axId val="1361230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1361216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vi-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[Cauhoi_Data_chart_Excel.xlsx]Câu hỏi 7!PivotTable11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vi-VN"/>
              <a:t>Tương quan giữa Doanh thu và Số đơn hàng theo tháng</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vi-V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vi-VN"/>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vi-V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'Câu hỏi 7'!$B$3</c:f>
              <c:strCache>
                <c:ptCount val="1"/>
                <c:pt idx="0">
                  <c:v>Sum of Doanh thu (trđ)</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'Câu hỏi 7'!$A$4:$A$16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'Câu hỏi 7'!$B$4:$B$16</c:f>
              <c:numCache>
                <c:formatCode>General</c:formatCode>
                <c:ptCount val="12"/>
                <c:pt idx="0">
                  <c:v>7390.8000000000011</c:v>
                </c:pt>
                <c:pt idx="1">
                  <c:v>6307.8000000000011</c:v>
                </c:pt>
                <c:pt idx="2">
                  <c:v>5436.7</c:v>
                </c:pt>
                <c:pt idx="3">
                  <c:v>5128.9999999999991</c:v>
                </c:pt>
                <c:pt idx="4">
                  <c:v>5275.5000000000009</c:v>
                </c:pt>
                <c:pt idx="5">
                  <c:v>5744.9999999999991</c:v>
                </c:pt>
                <c:pt idx="6">
                  <c:v>6038.8</c:v>
                </c:pt>
                <c:pt idx="7">
                  <c:v>6144.2000000000007</c:v>
                </c:pt>
                <c:pt idx="8">
                  <c:v>6425.7999999999993</c:v>
                </c:pt>
                <c:pt idx="9">
                  <c:v>6707.0999999999985</c:v>
                </c:pt>
                <c:pt idx="10">
                  <c:v>7779.9999999999991</c:v>
                </c:pt>
                <c:pt idx="11">
                  <c:v>8402.2999999999993</c:v>
                </c:pt>
              </c:numCache>
            </c:numRef>
          </c:val>
          <c:extLst>
            <c:ext xmlns:c16="http://schemas.microsoft.com/office/drawing/2014/chart" uri="{C3380CC4-5D6E-409C-BE32-E72D297353CC}">
              <c16:uniqueId val="{00000000-FC01-4BF1-B07B-A4262E10E6A0}"/>
            </c:ext>
          </c:extLst>
        </c:ser>
        <c:dLbls>
          <c:showLegendKey val="0"/>
          <c:showVal val="0"/>
          <c:showCatName val="0"/>
          <c:showSerName val="0"/>
          <c:showPercent val="0"/>
          <c:showBubbleSize val="0"/>
        </c:dLbls>
        <c:gapWidth val="219"/>
        <c:overlap val="-27"/>
        <c:axId val="1053194624"/>
        <c:axId val="1057931264"/>
      </c:barChart>
      <c:lineChart>
        <c:grouping val="standard"/>
        <c:varyColors val="0"/>
        <c:ser>
          <c:idx val="1"/>
          <c:order val="1"/>
          <c:tx>
            <c:strRef>
              <c:f>'Câu hỏi 7'!$C$3</c:f>
              <c:strCache>
                <c:ptCount val="1"/>
                <c:pt idx="0">
                  <c:v>Sum of Số đơn hàng</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'Câu hỏi 7'!$A$4:$A$16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'Câu hỏi 7'!$C$4:$C$16</c:f>
              <c:numCache>
                <c:formatCode>General</c:formatCode>
                <c:ptCount val="12"/>
                <c:pt idx="0">
                  <c:v>1070</c:v>
                </c:pt>
                <c:pt idx="1">
                  <c:v>933</c:v>
                </c:pt>
                <c:pt idx="2">
                  <c:v>786</c:v>
                </c:pt>
                <c:pt idx="3">
                  <c:v>792</c:v>
                </c:pt>
                <c:pt idx="4">
                  <c:v>797</c:v>
                </c:pt>
                <c:pt idx="5">
                  <c:v>892</c:v>
                </c:pt>
                <c:pt idx="6">
                  <c:v>888</c:v>
                </c:pt>
                <c:pt idx="7">
                  <c:v>893</c:v>
                </c:pt>
                <c:pt idx="8">
                  <c:v>987</c:v>
                </c:pt>
                <c:pt idx="9">
                  <c:v>1006</c:v>
                </c:pt>
                <c:pt idx="10">
                  <c:v>1157</c:v>
                </c:pt>
                <c:pt idx="11">
                  <c:v>1279</c:v>
                </c:pt>
              </c:numCache>
            </c:numRef>
          </c:val>
          <c:smooth val="0"/>
          <c:extLst>
            <c:ext xmlns:c16="http://schemas.microsoft.com/office/drawing/2014/chart" uri="{C3380CC4-5D6E-409C-BE32-E72D297353CC}">
              <c16:uniqueId val="{00000001-FC01-4BF1-B07B-A4262E10E6A0}"/>
            </c:ext>
          </c:extLst>
        </c:ser>
        <c:dLbls>
          <c:showLegendKey val="0"/>
          <c:showVal val="0"/>
          <c:showCatName val="0"/>
          <c:showSerName val="0"/>
          <c:showPercent val="0"/>
          <c:showBubbleSize val="0"/>
        </c:dLbls>
        <c:marker val="1"/>
        <c:smooth val="0"/>
        <c:axId val="1751070848"/>
        <c:axId val="1751071264"/>
      </c:lineChart>
      <c:catAx>
        <c:axId val="175107084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vi-VN"/>
          </a:p>
        </c:txPr>
        <c:crossAx val="1751071264"/>
        <c:crosses val="autoZero"/>
        <c:auto val="1"/>
        <c:lblAlgn val="ctr"/>
        <c:lblOffset val="100"/>
        <c:noMultiLvlLbl val="0"/>
      </c:catAx>
      <c:valAx>
        <c:axId val="175107126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vi-VN"/>
          </a:p>
        </c:txPr>
        <c:crossAx val="1751070848"/>
        <c:crosses val="autoZero"/>
        <c:crossBetween val="between"/>
      </c:valAx>
      <c:valAx>
        <c:axId val="1057931264"/>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vi-VN"/>
          </a:p>
        </c:txPr>
        <c:crossAx val="1053194624"/>
        <c:crosses val="max"/>
        <c:crossBetween val="between"/>
      </c:valAx>
      <c:catAx>
        <c:axId val="1053194624"/>
        <c:scaling>
          <c:orientation val="minMax"/>
        </c:scaling>
        <c:delete val="1"/>
        <c:axPos val="b"/>
        <c:numFmt formatCode="General" sourceLinked="1"/>
        <c:majorTickMark val="none"/>
        <c:minorTickMark val="none"/>
        <c:tickLblPos val="nextTo"/>
        <c:crossAx val="1057931264"/>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vi-VN"/>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vi-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Biểu đồ tần xuất doanh thu</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Biểu đồ tần xuất doanh thu</a:t>
          </a:r>
        </a:p>
      </cx:txPr>
    </cx:title>
    <cx:plotArea>
      <cx:plotAreaRegion>
        <cx:series layoutId="clusteredColumn" uniqueId="{4D89D6D3-5953-471D-8111-A953C688A60B}">
          <cx:tx>
            <cx:txData>
              <cx:f>_xlchart.v1.2</cx:f>
              <cx:v/>
            </cx:txData>
          </cx:tx>
          <cx:spPr>
            <a:solidFill>
              <a:schemeClr val="bg2">
                <a:lumMod val="50000"/>
              </a:schemeClr>
            </a:solidFill>
          </cx:spPr>
          <cx:dataPt idx="1">
            <cx:spPr>
              <a:solidFill>
                <a:srgbClr val="92D050"/>
              </a:solidFill>
            </cx:spPr>
          </cx:dataPt>
          <cx:dataId val="0"/>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556260</xdr:colOff>
      <xdr:row>6</xdr:row>
      <xdr:rowOff>140970</xdr:rowOff>
    </xdr:from>
    <xdr:to>
      <xdr:col>14</xdr:col>
      <xdr:colOff>495300</xdr:colOff>
      <xdr:row>35</xdr:row>
      <xdr:rowOff>100650</xdr:rowOff>
    </xdr:to>
    <xdr:graphicFrame macro="">
      <xdr:nvGraphicFramePr>
        <xdr:cNvPr id="2" name="Chart 1">
          <a:extLst>
            <a:ext uri="{FF2B5EF4-FFF2-40B4-BE49-F238E27FC236}">
              <a16:creationId xmlns:a16="http://schemas.microsoft.com/office/drawing/2014/main" id="{DFDF33A7-F281-4203-99D3-D92407AC8C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213360</xdr:colOff>
      <xdr:row>6</xdr:row>
      <xdr:rowOff>140970</xdr:rowOff>
    </xdr:from>
    <xdr:to>
      <xdr:col>12</xdr:col>
      <xdr:colOff>378960</xdr:colOff>
      <xdr:row>27</xdr:row>
      <xdr:rowOff>123690</xdr:rowOff>
    </xdr:to>
    <xdr:graphicFrame macro="">
      <xdr:nvGraphicFramePr>
        <xdr:cNvPr id="2" name="Chart 1">
          <a:extLst>
            <a:ext uri="{FF2B5EF4-FFF2-40B4-BE49-F238E27FC236}">
              <a16:creationId xmlns:a16="http://schemas.microsoft.com/office/drawing/2014/main" id="{B56C263A-5C5C-4643-8683-A5ACB5DC25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502917</xdr:colOff>
      <xdr:row>7</xdr:row>
      <xdr:rowOff>49529</xdr:rowOff>
    </xdr:from>
    <xdr:to>
      <xdr:col>20</xdr:col>
      <xdr:colOff>458006</xdr:colOff>
      <xdr:row>23</xdr:row>
      <xdr:rowOff>140969</xdr:rowOff>
    </xdr:to>
    <xdr:graphicFrame macro="">
      <xdr:nvGraphicFramePr>
        <xdr:cNvPr id="2" name="Chart 1">
          <a:extLst>
            <a:ext uri="{FF2B5EF4-FFF2-40B4-BE49-F238E27FC236}">
              <a16:creationId xmlns:a16="http://schemas.microsoft.com/office/drawing/2014/main" id="{E66737EC-7464-4535-8AA6-348609A87A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502912</xdr:colOff>
      <xdr:row>35</xdr:row>
      <xdr:rowOff>171450</xdr:rowOff>
    </xdr:from>
    <xdr:to>
      <xdr:col>22</xdr:col>
      <xdr:colOff>91908</xdr:colOff>
      <xdr:row>52</xdr:row>
      <xdr:rowOff>80284</xdr:rowOff>
    </xdr:to>
    <mc:AlternateContent xmlns:mc="http://schemas.openxmlformats.org/markup-compatibility/2006">
      <mc:Choice xmlns:cx1="http://schemas.microsoft.com/office/drawing/2015/9/8/chartex" Requires="cx1">
        <xdr:graphicFrame macro="">
          <xdr:nvGraphicFramePr>
            <xdr:cNvPr id="3" name="Traloi_cau6">
              <a:extLst>
                <a:ext uri="{FF2B5EF4-FFF2-40B4-BE49-F238E27FC236}">
                  <a16:creationId xmlns:a16="http://schemas.microsoft.com/office/drawing/2014/main" id="{1D20F5DA-8824-4F75-8519-46EC934E6B6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9624052" y="7105650"/>
              <a:ext cx="6126956" cy="3017794"/>
            </a:xfrm>
            <a:prstGeom prst="rect">
              <a:avLst/>
            </a:prstGeom>
            <a:solidFill>
              <a:prstClr val="white"/>
            </a:solidFill>
            <a:ln w="1">
              <a:solidFill>
                <a:prstClr val="green"/>
              </a:solidFill>
            </a:ln>
          </xdr:spPr>
          <xdr:txBody>
            <a:bodyPr vertOverflow="clip" horzOverflow="clip"/>
            <a:lstStyle/>
            <a:p>
              <a:r>
                <a:rPr lang="vi-V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579120</xdr:colOff>
      <xdr:row>3</xdr:row>
      <xdr:rowOff>3810</xdr:rowOff>
    </xdr:from>
    <xdr:to>
      <xdr:col>15</xdr:col>
      <xdr:colOff>68580</xdr:colOff>
      <xdr:row>20</xdr:row>
      <xdr:rowOff>49530</xdr:rowOff>
    </xdr:to>
    <xdr:graphicFrame macro="">
      <xdr:nvGraphicFramePr>
        <xdr:cNvPr id="2" name="Chart 1">
          <a:extLst>
            <a:ext uri="{FF2B5EF4-FFF2-40B4-BE49-F238E27FC236}">
              <a16:creationId xmlns:a16="http://schemas.microsoft.com/office/drawing/2014/main" id="{B39CAF37-0416-4DA3-A4A3-066E8FA79C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5.xml><?xml version="1.0" encoding="utf-8"?>
<xdr:wsDr xmlns:xdr="http://schemas.openxmlformats.org/drawingml/2006/spreadsheetDrawing" xmlns:a="http://schemas.openxmlformats.org/drawingml/2006/main">
  <xdr:twoCellAnchor>
    <xdr:from>
      <xdr:col>3</xdr:col>
      <xdr:colOff>45720</xdr:colOff>
      <xdr:row>6</xdr:row>
      <xdr:rowOff>140970</xdr:rowOff>
    </xdr:from>
    <xdr:to>
      <xdr:col>10</xdr:col>
      <xdr:colOff>350520</xdr:colOff>
      <xdr:row>21</xdr:row>
      <xdr:rowOff>140970</xdr:rowOff>
    </xdr:to>
    <xdr:graphicFrame macro="">
      <xdr:nvGraphicFramePr>
        <xdr:cNvPr id="2" name="Bieudocau2">
          <a:extLst>
            <a:ext uri="{FF2B5EF4-FFF2-40B4-BE49-F238E27FC236}">
              <a16:creationId xmlns:a16="http://schemas.microsoft.com/office/drawing/2014/main" id="{02A01479-AE03-4E6F-840B-2C2BD394CB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45720</xdr:colOff>
      <xdr:row>6</xdr:row>
      <xdr:rowOff>140970</xdr:rowOff>
    </xdr:from>
    <xdr:to>
      <xdr:col>10</xdr:col>
      <xdr:colOff>350520</xdr:colOff>
      <xdr:row>21</xdr:row>
      <xdr:rowOff>140970</xdr:rowOff>
    </xdr:to>
    <xdr:graphicFrame macro="">
      <xdr:nvGraphicFramePr>
        <xdr:cNvPr id="2" name="Chart 1">
          <a:extLst>
            <a:ext uri="{FF2B5EF4-FFF2-40B4-BE49-F238E27FC236}">
              <a16:creationId xmlns:a16="http://schemas.microsoft.com/office/drawing/2014/main" id="{F503698C-EA56-449A-86B3-E5969CB0D1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266700</xdr:colOff>
      <xdr:row>11</xdr:row>
      <xdr:rowOff>34290</xdr:rowOff>
    </xdr:from>
    <xdr:to>
      <xdr:col>10</xdr:col>
      <xdr:colOff>0</xdr:colOff>
      <xdr:row>26</xdr:row>
      <xdr:rowOff>34290</xdr:rowOff>
    </xdr:to>
    <xdr:graphicFrame macro="">
      <xdr:nvGraphicFramePr>
        <xdr:cNvPr id="2" name="Chart 1">
          <a:extLst>
            <a:ext uri="{FF2B5EF4-FFF2-40B4-BE49-F238E27FC236}">
              <a16:creationId xmlns:a16="http://schemas.microsoft.com/office/drawing/2014/main" id="{9A9CA4AE-AE47-4466-B332-D427895BD1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586740</xdr:colOff>
      <xdr:row>6</xdr:row>
      <xdr:rowOff>95250</xdr:rowOff>
    </xdr:from>
    <xdr:to>
      <xdr:col>20</xdr:col>
      <xdr:colOff>510540</xdr:colOff>
      <xdr:row>28</xdr:row>
      <xdr:rowOff>22098</xdr:rowOff>
    </xdr:to>
    <xdr:graphicFrame macro="">
      <xdr:nvGraphicFramePr>
        <xdr:cNvPr id="2" name="Chart 1">
          <a:extLst>
            <a:ext uri="{FF2B5EF4-FFF2-40B4-BE49-F238E27FC236}">
              <a16:creationId xmlns:a16="http://schemas.microsoft.com/office/drawing/2014/main" id="{419E51A1-4B38-4593-8151-D671E8802F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74.328897222222" createdVersion="7" refreshedVersion="7" minRefreshableVersion="3" recordCount="192" xr:uid="{D1C8C412-59AC-4FB5-B586-D92A099C7701}">
  <cacheSource type="worksheet">
    <worksheetSource ref="A4:H196" sheet="data"/>
  </cacheSource>
  <cacheFields count="8">
    <cacheField name="Tháng" numFmtId="0">
      <sharedItems containsSemiMixedTypes="0" containsString="0" containsNumber="1" containsInteger="1" minValue="1" maxValue="12" count="12">
        <n v="1"/>
        <n v="2"/>
        <n v="3"/>
        <n v="4"/>
        <n v="5"/>
        <n v="6"/>
        <n v="7"/>
        <n v="8"/>
        <n v="9"/>
        <n v="10"/>
        <n v="11"/>
        <n v="12"/>
      </sharedItems>
    </cacheField>
    <cacheField name="Quý" numFmtId="0">
      <sharedItems count="4">
        <s v="Quý 1"/>
        <s v="Quý 2"/>
        <s v="Quý 3"/>
        <s v="Quý 4"/>
      </sharedItems>
    </cacheField>
    <cacheField name="Chi nhánh" numFmtId="0">
      <sharedItems count="4">
        <s v="TP.HCM"/>
        <s v="Hà Nội"/>
        <s v="Đà Nẵng"/>
        <s v="Cần Thơ"/>
      </sharedItems>
    </cacheField>
    <cacheField name="Nhóm hàng" numFmtId="0">
      <sharedItems count="4">
        <s v="Điện thoại"/>
        <s v="Laptop"/>
        <s v="Phụ kiện"/>
        <s v="Đồng hồ"/>
      </sharedItems>
    </cacheField>
    <cacheField name="Số đơn hàng" numFmtId="3">
      <sharedItems containsSemiMixedTypes="0" containsString="0" containsNumber="1" containsInteger="1" minValue="10" maxValue="248"/>
    </cacheField>
    <cacheField name="Doanh thu (trđ)" numFmtId="164">
      <sharedItems containsSemiMixedTypes="0" containsString="0" containsNumber="1" minValue="78" maxValue="1197.5999999999999" count="191">
        <n v="1074.8"/>
        <n v="893"/>
        <n v="280.60000000000002"/>
        <n v="380.3"/>
        <n v="824.7"/>
        <n v="771"/>
        <n v="269.8"/>
        <n v="395.1"/>
        <n v="577"/>
        <n v="501.5"/>
        <n v="165"/>
        <n v="212.2"/>
        <n v="429.5"/>
        <n v="319.10000000000002"/>
        <n v="105.4"/>
        <n v="191.8"/>
        <n v="963.8"/>
        <n v="691.5"/>
        <n v="267"/>
        <n v="403.9"/>
        <n v="768.1"/>
        <n v="600.20000000000005"/>
        <n v="187.7"/>
        <n v="334.1"/>
        <n v="548.1"/>
        <n v="351.3"/>
        <n v="127.2"/>
        <n v="199.8"/>
        <n v="356.3"/>
        <n v="275.39999999999998"/>
        <n v="104.1"/>
        <n v="129.30000000000001"/>
        <n v="849"/>
        <n v="689.7"/>
        <n v="191.9"/>
        <n v="649.29999999999995"/>
        <n v="498.9"/>
        <n v="179.2"/>
        <n v="262.3"/>
        <n v="384"/>
        <n v="377.8"/>
        <n v="109.6"/>
        <n v="175.4"/>
        <n v="281.2"/>
        <n v="266.8"/>
        <n v="83.6"/>
        <n v="118.9"/>
        <n v="701.1"/>
        <n v="613.4"/>
        <n v="228.2"/>
        <n v="306.60000000000002"/>
        <n v="615.6"/>
        <n v="509.6"/>
        <n v="176.7"/>
        <n v="291"/>
        <n v="366.7"/>
        <n v="305.89999999999998"/>
        <n v="115.4"/>
        <n v="185.1"/>
        <n v="292.60000000000002"/>
        <n v="225.2"/>
        <n v="85.4"/>
        <n v="110.5"/>
        <n v="677.3"/>
        <n v="669.1"/>
        <n v="224.1"/>
        <n v="322.8"/>
        <n v="666.5"/>
        <n v="472"/>
        <n v="185.6"/>
        <n v="263.8"/>
        <n v="407.4"/>
        <n v="348.3"/>
        <n v="112.1"/>
        <n v="187.8"/>
        <n v="276.3"/>
        <n v="262.7"/>
        <n v="78"/>
        <n v="121.7"/>
        <n v="876.1"/>
        <n v="579.9"/>
        <n v="237.6"/>
        <n v="355.2"/>
        <n v="639.1"/>
        <n v="595.79999999999995"/>
        <n v="180.5"/>
        <n v="292.10000000000002"/>
        <n v="489.8"/>
        <n v="400"/>
        <n v="128.5"/>
        <n v="177.7"/>
        <n v="283.7"/>
        <n v="277"/>
        <n v="92.1"/>
        <n v="139.9"/>
        <n v="837.5"/>
        <n v="770.4"/>
        <n v="224.6"/>
        <n v="347.8"/>
        <n v="718.8"/>
        <n v="634.4"/>
        <n v="206.9"/>
        <n v="313.2"/>
        <n v="442.8"/>
        <n v="375.4"/>
        <n v="129.5"/>
        <n v="206.3"/>
        <n v="316.39999999999998"/>
        <n v="261.89999999999998"/>
        <n v="98.1"/>
        <n v="154.80000000000001"/>
        <n v="936"/>
        <n v="700.3"/>
        <n v="253.7"/>
        <n v="321.39999999999998"/>
        <n v="744.2"/>
        <n v="628.6"/>
        <n v="198.6"/>
        <n v="310.2"/>
        <n v="463.3"/>
        <n v="420.4"/>
        <n v="132.6"/>
        <n v="193.7"/>
        <n v="338.9"/>
        <n v="290.10000000000002"/>
        <n v="84.6"/>
        <n v="127.6"/>
        <n v="978.4"/>
        <n v="703.5"/>
        <n v="283.60000000000002"/>
        <n v="393.6"/>
        <n v="692.5"/>
        <n v="645.6"/>
        <n v="198"/>
        <n v="347.5"/>
        <n v="483.5"/>
        <n v="432.6"/>
        <n v="125.9"/>
        <n v="189.9"/>
        <n v="361.9"/>
        <n v="324.3"/>
        <n v="104.6"/>
        <n v="160.4"/>
        <n v="984"/>
        <n v="748.2"/>
        <n v="292.7"/>
        <n v="390.5"/>
        <n v="771.5"/>
        <n v="705.9"/>
        <n v="205.2"/>
        <n v="357.5"/>
        <n v="483.9"/>
        <n v="444.2"/>
        <n v="156.19999999999999"/>
        <n v="208"/>
        <n v="393.4"/>
        <n v="315.7"/>
        <n v="101.7"/>
        <n v="148.5"/>
        <n v="1197.5999999999999"/>
        <n v="950.9"/>
        <n v="293.5"/>
        <n v="490.5"/>
        <n v="820.5"/>
        <n v="753.8"/>
        <n v="267.3"/>
        <n v="379"/>
        <n v="660.9"/>
        <n v="508.2"/>
        <n v="168.9"/>
        <n v="214.8"/>
        <n v="402.4"/>
        <n v="365.2"/>
        <n v="122.8"/>
        <n v="183.7"/>
        <n v="1124.5"/>
        <n v="942.9"/>
        <n v="371.9"/>
        <n v="448.6"/>
        <n v="937.3"/>
        <n v="935.7"/>
        <n v="254.2"/>
        <n v="471.5"/>
        <n v="671.1"/>
        <n v="568.6"/>
        <n v="175.5"/>
        <n v="274.39999999999998"/>
        <n v="477.8"/>
        <n v="401.4"/>
        <n v="142.80000000000001"/>
        <n v="204.1"/>
      </sharedItems>
    </cacheField>
    <cacheField name="Chi phí QC (trđ)" numFmtId="164">
      <sharedItems containsSemiMixedTypes="0" containsString="0" containsNumber="1" minValue="6.9" maxValue="85.2"/>
    </cacheField>
    <cacheField name="Khách hàng mới" numFmtId="3">
      <sharedItems containsSemiMixedTypes="0" containsString="0" containsNumber="1" containsInteger="1" minValue="3" maxValue="7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2">
  <r>
    <x v="0"/>
    <x v="0"/>
    <x v="0"/>
    <x v="0"/>
    <n v="86"/>
    <x v="0"/>
    <n v="64.5"/>
    <n v="24"/>
  </r>
  <r>
    <x v="0"/>
    <x v="0"/>
    <x v="0"/>
    <x v="1"/>
    <n v="44"/>
    <x v="1"/>
    <n v="56.4"/>
    <n v="12"/>
  </r>
  <r>
    <x v="0"/>
    <x v="0"/>
    <x v="0"/>
    <x v="2"/>
    <n v="177"/>
    <x v="2"/>
    <n v="24.1"/>
    <n v="58"/>
  </r>
  <r>
    <x v="0"/>
    <x v="0"/>
    <x v="0"/>
    <x v="3"/>
    <n v="65"/>
    <x v="3"/>
    <n v="31.1"/>
    <n v="22"/>
  </r>
  <r>
    <x v="0"/>
    <x v="0"/>
    <x v="1"/>
    <x v="0"/>
    <n v="73"/>
    <x v="4"/>
    <n v="59.3"/>
    <n v="18"/>
  </r>
  <r>
    <x v="0"/>
    <x v="0"/>
    <x v="1"/>
    <x v="1"/>
    <n v="34"/>
    <x v="5"/>
    <n v="49"/>
    <n v="9"/>
  </r>
  <r>
    <x v="0"/>
    <x v="0"/>
    <x v="1"/>
    <x v="2"/>
    <n v="165"/>
    <x v="6"/>
    <n v="25.7"/>
    <n v="44"/>
  </r>
  <r>
    <x v="0"/>
    <x v="0"/>
    <x v="1"/>
    <x v="3"/>
    <n v="70"/>
    <x v="7"/>
    <n v="36.700000000000003"/>
    <n v="25"/>
  </r>
  <r>
    <x v="0"/>
    <x v="0"/>
    <x v="2"/>
    <x v="0"/>
    <n v="47"/>
    <x v="8"/>
    <n v="46.1"/>
    <n v="16"/>
  </r>
  <r>
    <x v="0"/>
    <x v="0"/>
    <x v="2"/>
    <x v="1"/>
    <n v="24"/>
    <x v="9"/>
    <n v="31.2"/>
    <n v="8"/>
  </r>
  <r>
    <x v="0"/>
    <x v="0"/>
    <x v="2"/>
    <x v="2"/>
    <n v="104"/>
    <x v="10"/>
    <n v="14.3"/>
    <n v="31"/>
  </r>
  <r>
    <x v="0"/>
    <x v="0"/>
    <x v="2"/>
    <x v="3"/>
    <n v="33"/>
    <x v="11"/>
    <n v="17.600000000000001"/>
    <n v="10"/>
  </r>
  <r>
    <x v="0"/>
    <x v="0"/>
    <x v="3"/>
    <x v="0"/>
    <n v="35"/>
    <x v="12"/>
    <n v="28.8"/>
    <n v="10"/>
  </r>
  <r>
    <x v="0"/>
    <x v="0"/>
    <x v="3"/>
    <x v="1"/>
    <n v="15"/>
    <x v="13"/>
    <n v="21.7"/>
    <n v="5"/>
  </r>
  <r>
    <x v="0"/>
    <x v="0"/>
    <x v="3"/>
    <x v="2"/>
    <n v="66"/>
    <x v="14"/>
    <n v="11.3"/>
    <n v="20"/>
  </r>
  <r>
    <x v="0"/>
    <x v="0"/>
    <x v="3"/>
    <x v="3"/>
    <n v="32"/>
    <x v="15"/>
    <n v="18"/>
    <n v="11"/>
  </r>
  <r>
    <x v="1"/>
    <x v="0"/>
    <x v="0"/>
    <x v="0"/>
    <n v="76"/>
    <x v="16"/>
    <n v="73.099999999999994"/>
    <n v="19"/>
  </r>
  <r>
    <x v="1"/>
    <x v="0"/>
    <x v="0"/>
    <x v="1"/>
    <n v="30"/>
    <x v="17"/>
    <n v="38.6"/>
    <n v="12"/>
  </r>
  <r>
    <x v="1"/>
    <x v="0"/>
    <x v="0"/>
    <x v="2"/>
    <n v="184"/>
    <x v="18"/>
    <n v="25.2"/>
    <n v="57"/>
  </r>
  <r>
    <x v="1"/>
    <x v="0"/>
    <x v="0"/>
    <x v="3"/>
    <n v="64"/>
    <x v="19"/>
    <n v="35.9"/>
    <n v="18"/>
  </r>
  <r>
    <x v="1"/>
    <x v="0"/>
    <x v="1"/>
    <x v="0"/>
    <n v="65"/>
    <x v="20"/>
    <n v="49.9"/>
    <n v="25"/>
  </r>
  <r>
    <x v="1"/>
    <x v="0"/>
    <x v="1"/>
    <x v="1"/>
    <n v="30"/>
    <x v="21"/>
    <n v="33"/>
    <n v="10"/>
  </r>
  <r>
    <x v="1"/>
    <x v="0"/>
    <x v="1"/>
    <x v="2"/>
    <n v="115"/>
    <x v="22"/>
    <n v="16.2"/>
    <n v="40"/>
  </r>
  <r>
    <x v="1"/>
    <x v="0"/>
    <x v="1"/>
    <x v="3"/>
    <n v="51"/>
    <x v="23"/>
    <n v="29.4"/>
    <n v="16"/>
  </r>
  <r>
    <x v="1"/>
    <x v="0"/>
    <x v="2"/>
    <x v="0"/>
    <n v="50"/>
    <x v="24"/>
    <n v="38.700000000000003"/>
    <n v="19"/>
  </r>
  <r>
    <x v="1"/>
    <x v="0"/>
    <x v="2"/>
    <x v="1"/>
    <n v="17"/>
    <x v="25"/>
    <n v="22.5"/>
    <n v="6"/>
  </r>
  <r>
    <x v="1"/>
    <x v="0"/>
    <x v="2"/>
    <x v="2"/>
    <n v="78"/>
    <x v="26"/>
    <n v="13.3"/>
    <n v="25"/>
  </r>
  <r>
    <x v="1"/>
    <x v="0"/>
    <x v="2"/>
    <x v="3"/>
    <n v="36"/>
    <x v="27"/>
    <n v="20.399999999999999"/>
    <n v="10"/>
  </r>
  <r>
    <x v="1"/>
    <x v="0"/>
    <x v="3"/>
    <x v="0"/>
    <n v="32"/>
    <x v="28"/>
    <n v="22.5"/>
    <n v="12"/>
  </r>
  <r>
    <x v="1"/>
    <x v="0"/>
    <x v="3"/>
    <x v="1"/>
    <n v="13"/>
    <x v="29"/>
    <n v="17.2"/>
    <n v="4"/>
  </r>
  <r>
    <x v="1"/>
    <x v="0"/>
    <x v="3"/>
    <x v="2"/>
    <n v="73"/>
    <x v="30"/>
    <n v="10.5"/>
    <n v="24"/>
  </r>
  <r>
    <x v="1"/>
    <x v="0"/>
    <x v="3"/>
    <x v="3"/>
    <n v="19"/>
    <x v="31"/>
    <n v="11"/>
    <n v="7"/>
  </r>
  <r>
    <x v="2"/>
    <x v="0"/>
    <x v="0"/>
    <x v="0"/>
    <n v="68"/>
    <x v="32"/>
    <n v="65.3"/>
    <n v="18"/>
  </r>
  <r>
    <x v="2"/>
    <x v="0"/>
    <x v="0"/>
    <x v="1"/>
    <n v="29"/>
    <x v="33"/>
    <n v="46.9"/>
    <n v="9"/>
  </r>
  <r>
    <x v="2"/>
    <x v="0"/>
    <x v="0"/>
    <x v="2"/>
    <n v="135"/>
    <x v="34"/>
    <n v="20.7"/>
    <n v="36"/>
  </r>
  <r>
    <x v="2"/>
    <x v="0"/>
    <x v="0"/>
    <x v="3"/>
    <n v="51"/>
    <x v="13"/>
    <n v="29.1"/>
    <n v="19"/>
  </r>
  <r>
    <x v="2"/>
    <x v="0"/>
    <x v="1"/>
    <x v="0"/>
    <n v="55"/>
    <x v="35"/>
    <n v="41.5"/>
    <n v="20"/>
  </r>
  <r>
    <x v="2"/>
    <x v="0"/>
    <x v="1"/>
    <x v="1"/>
    <n v="25"/>
    <x v="36"/>
    <n v="28.2"/>
    <n v="9"/>
  </r>
  <r>
    <x v="2"/>
    <x v="0"/>
    <x v="1"/>
    <x v="2"/>
    <n v="110"/>
    <x v="37"/>
    <n v="18"/>
    <n v="31"/>
  </r>
  <r>
    <x v="2"/>
    <x v="0"/>
    <x v="1"/>
    <x v="3"/>
    <n v="41"/>
    <x v="38"/>
    <n v="24.2"/>
    <n v="12"/>
  </r>
  <r>
    <x v="2"/>
    <x v="0"/>
    <x v="2"/>
    <x v="0"/>
    <n v="30"/>
    <x v="39"/>
    <n v="27.9"/>
    <n v="12"/>
  </r>
  <r>
    <x v="2"/>
    <x v="0"/>
    <x v="2"/>
    <x v="1"/>
    <n v="16"/>
    <x v="40"/>
    <n v="19.7"/>
    <n v="6"/>
  </r>
  <r>
    <x v="2"/>
    <x v="0"/>
    <x v="2"/>
    <x v="2"/>
    <n v="79"/>
    <x v="41"/>
    <n v="9.8000000000000007"/>
    <n v="27"/>
  </r>
  <r>
    <x v="2"/>
    <x v="0"/>
    <x v="2"/>
    <x v="3"/>
    <n v="31"/>
    <x v="42"/>
    <n v="17.100000000000001"/>
    <n v="9"/>
  </r>
  <r>
    <x v="2"/>
    <x v="0"/>
    <x v="3"/>
    <x v="0"/>
    <n v="23"/>
    <x v="43"/>
    <n v="19.3"/>
    <n v="7"/>
  </r>
  <r>
    <x v="2"/>
    <x v="0"/>
    <x v="3"/>
    <x v="1"/>
    <n v="13"/>
    <x v="44"/>
    <n v="16.8"/>
    <n v="3"/>
  </r>
  <r>
    <x v="2"/>
    <x v="0"/>
    <x v="3"/>
    <x v="2"/>
    <n v="60"/>
    <x v="45"/>
    <n v="8"/>
    <n v="17"/>
  </r>
  <r>
    <x v="2"/>
    <x v="0"/>
    <x v="3"/>
    <x v="3"/>
    <n v="20"/>
    <x v="46"/>
    <n v="10.5"/>
    <n v="6"/>
  </r>
  <r>
    <x v="3"/>
    <x v="1"/>
    <x v="0"/>
    <x v="0"/>
    <n v="58"/>
    <x v="47"/>
    <n v="55.3"/>
    <n v="22"/>
  </r>
  <r>
    <x v="3"/>
    <x v="1"/>
    <x v="0"/>
    <x v="1"/>
    <n v="31"/>
    <x v="48"/>
    <n v="31.8"/>
    <n v="12"/>
  </r>
  <r>
    <x v="3"/>
    <x v="1"/>
    <x v="0"/>
    <x v="2"/>
    <n v="163"/>
    <x v="49"/>
    <n v="25.7"/>
    <n v="45"/>
  </r>
  <r>
    <x v="3"/>
    <x v="1"/>
    <x v="0"/>
    <x v="3"/>
    <n v="50"/>
    <x v="50"/>
    <n v="25.2"/>
    <n v="13"/>
  </r>
  <r>
    <x v="3"/>
    <x v="1"/>
    <x v="1"/>
    <x v="0"/>
    <n v="49"/>
    <x v="51"/>
    <n v="49.4"/>
    <n v="18"/>
  </r>
  <r>
    <x v="3"/>
    <x v="1"/>
    <x v="1"/>
    <x v="1"/>
    <n v="25"/>
    <x v="52"/>
    <n v="29.9"/>
    <n v="10"/>
  </r>
  <r>
    <x v="3"/>
    <x v="1"/>
    <x v="1"/>
    <x v="2"/>
    <n v="110"/>
    <x v="53"/>
    <n v="18.8"/>
    <n v="32"/>
  </r>
  <r>
    <x v="3"/>
    <x v="1"/>
    <x v="1"/>
    <x v="3"/>
    <n v="49"/>
    <x v="54"/>
    <n v="26.8"/>
    <n v="18"/>
  </r>
  <r>
    <x v="3"/>
    <x v="1"/>
    <x v="2"/>
    <x v="0"/>
    <n v="31"/>
    <x v="55"/>
    <n v="26.3"/>
    <n v="12"/>
  </r>
  <r>
    <x v="3"/>
    <x v="1"/>
    <x v="2"/>
    <x v="1"/>
    <n v="13"/>
    <x v="56"/>
    <n v="20.9"/>
    <n v="4"/>
  </r>
  <r>
    <x v="3"/>
    <x v="1"/>
    <x v="2"/>
    <x v="2"/>
    <n v="73"/>
    <x v="57"/>
    <n v="12.1"/>
    <n v="20"/>
  </r>
  <r>
    <x v="3"/>
    <x v="1"/>
    <x v="2"/>
    <x v="3"/>
    <n v="31"/>
    <x v="58"/>
    <n v="15.4"/>
    <n v="11"/>
  </r>
  <r>
    <x v="3"/>
    <x v="1"/>
    <x v="3"/>
    <x v="0"/>
    <n v="24"/>
    <x v="59"/>
    <n v="21"/>
    <n v="9"/>
  </r>
  <r>
    <x v="3"/>
    <x v="1"/>
    <x v="3"/>
    <x v="1"/>
    <n v="10"/>
    <x v="60"/>
    <n v="14.4"/>
    <n v="3"/>
  </r>
  <r>
    <x v="3"/>
    <x v="1"/>
    <x v="3"/>
    <x v="2"/>
    <n v="55"/>
    <x v="61"/>
    <n v="8"/>
    <n v="20"/>
  </r>
  <r>
    <x v="3"/>
    <x v="1"/>
    <x v="3"/>
    <x v="3"/>
    <n v="20"/>
    <x v="62"/>
    <n v="9.8000000000000007"/>
    <n v="8"/>
  </r>
  <r>
    <x v="4"/>
    <x v="1"/>
    <x v="0"/>
    <x v="0"/>
    <n v="54"/>
    <x v="63"/>
    <n v="43.3"/>
    <n v="21"/>
  </r>
  <r>
    <x v="4"/>
    <x v="1"/>
    <x v="0"/>
    <x v="1"/>
    <n v="30"/>
    <x v="64"/>
    <n v="44.7"/>
    <n v="8"/>
  </r>
  <r>
    <x v="4"/>
    <x v="1"/>
    <x v="0"/>
    <x v="2"/>
    <n v="153"/>
    <x v="65"/>
    <n v="23.8"/>
    <n v="61"/>
  </r>
  <r>
    <x v="4"/>
    <x v="1"/>
    <x v="0"/>
    <x v="3"/>
    <n v="57"/>
    <x v="66"/>
    <n v="24.8"/>
    <n v="17"/>
  </r>
  <r>
    <x v="4"/>
    <x v="1"/>
    <x v="1"/>
    <x v="0"/>
    <n v="51"/>
    <x v="67"/>
    <n v="52.8"/>
    <n v="14"/>
  </r>
  <r>
    <x v="4"/>
    <x v="1"/>
    <x v="1"/>
    <x v="1"/>
    <n v="20"/>
    <x v="68"/>
    <n v="28.8"/>
    <n v="7"/>
  </r>
  <r>
    <x v="4"/>
    <x v="1"/>
    <x v="1"/>
    <x v="2"/>
    <n v="127"/>
    <x v="69"/>
    <n v="16.899999999999999"/>
    <n v="37"/>
  </r>
  <r>
    <x v="4"/>
    <x v="1"/>
    <x v="1"/>
    <x v="3"/>
    <n v="47"/>
    <x v="70"/>
    <n v="26.6"/>
    <n v="12"/>
  </r>
  <r>
    <x v="4"/>
    <x v="1"/>
    <x v="2"/>
    <x v="0"/>
    <n v="31"/>
    <x v="71"/>
    <n v="26.6"/>
    <n v="11"/>
  </r>
  <r>
    <x v="4"/>
    <x v="1"/>
    <x v="2"/>
    <x v="1"/>
    <n v="17"/>
    <x v="72"/>
    <n v="19.399999999999999"/>
    <n v="6"/>
  </r>
  <r>
    <x v="4"/>
    <x v="1"/>
    <x v="2"/>
    <x v="2"/>
    <n v="68"/>
    <x v="73"/>
    <n v="9.6"/>
    <n v="26"/>
  </r>
  <r>
    <x v="4"/>
    <x v="1"/>
    <x v="2"/>
    <x v="3"/>
    <n v="33"/>
    <x v="74"/>
    <n v="17.100000000000001"/>
    <n v="11"/>
  </r>
  <r>
    <x v="4"/>
    <x v="1"/>
    <x v="3"/>
    <x v="0"/>
    <n v="22"/>
    <x v="75"/>
    <n v="17.2"/>
    <n v="8"/>
  </r>
  <r>
    <x v="4"/>
    <x v="1"/>
    <x v="3"/>
    <x v="1"/>
    <n v="13"/>
    <x v="76"/>
    <n v="17.5"/>
    <n v="4"/>
  </r>
  <r>
    <x v="4"/>
    <x v="1"/>
    <x v="3"/>
    <x v="2"/>
    <n v="55"/>
    <x v="77"/>
    <n v="6.9"/>
    <n v="21"/>
  </r>
  <r>
    <x v="4"/>
    <x v="1"/>
    <x v="3"/>
    <x v="3"/>
    <n v="19"/>
    <x v="78"/>
    <n v="11.3"/>
    <n v="7"/>
  </r>
  <r>
    <x v="5"/>
    <x v="1"/>
    <x v="0"/>
    <x v="0"/>
    <n v="78"/>
    <x v="79"/>
    <n v="70.099999999999994"/>
    <n v="30"/>
  </r>
  <r>
    <x v="5"/>
    <x v="1"/>
    <x v="0"/>
    <x v="1"/>
    <n v="25"/>
    <x v="80"/>
    <n v="37.299999999999997"/>
    <n v="10"/>
  </r>
  <r>
    <x v="5"/>
    <x v="1"/>
    <x v="0"/>
    <x v="2"/>
    <n v="168"/>
    <x v="81"/>
    <n v="26.4"/>
    <n v="49"/>
  </r>
  <r>
    <x v="5"/>
    <x v="1"/>
    <x v="0"/>
    <x v="3"/>
    <n v="64"/>
    <x v="82"/>
    <n v="28.2"/>
    <n v="24"/>
  </r>
  <r>
    <x v="5"/>
    <x v="1"/>
    <x v="1"/>
    <x v="0"/>
    <n v="53"/>
    <x v="83"/>
    <n v="49"/>
    <n v="16"/>
  </r>
  <r>
    <x v="5"/>
    <x v="1"/>
    <x v="1"/>
    <x v="1"/>
    <n v="25"/>
    <x v="84"/>
    <n v="32.799999999999997"/>
    <n v="7"/>
  </r>
  <r>
    <x v="5"/>
    <x v="1"/>
    <x v="1"/>
    <x v="2"/>
    <n v="132"/>
    <x v="85"/>
    <n v="20"/>
    <n v="39"/>
  </r>
  <r>
    <x v="5"/>
    <x v="1"/>
    <x v="1"/>
    <x v="3"/>
    <n v="53"/>
    <x v="86"/>
    <n v="25.5"/>
    <n v="18"/>
  </r>
  <r>
    <x v="5"/>
    <x v="1"/>
    <x v="2"/>
    <x v="0"/>
    <n v="45"/>
    <x v="87"/>
    <n v="30.3"/>
    <n v="12"/>
  </r>
  <r>
    <x v="5"/>
    <x v="1"/>
    <x v="2"/>
    <x v="1"/>
    <n v="17"/>
    <x v="88"/>
    <n v="22.3"/>
    <n v="5"/>
  </r>
  <r>
    <x v="5"/>
    <x v="1"/>
    <x v="2"/>
    <x v="2"/>
    <n v="87"/>
    <x v="89"/>
    <n v="12.1"/>
    <n v="28"/>
  </r>
  <r>
    <x v="5"/>
    <x v="1"/>
    <x v="2"/>
    <x v="3"/>
    <n v="28"/>
    <x v="90"/>
    <n v="16.399999999999999"/>
    <n v="10"/>
  </r>
  <r>
    <x v="5"/>
    <x v="1"/>
    <x v="3"/>
    <x v="0"/>
    <n v="24"/>
    <x v="91"/>
    <n v="22.4"/>
    <n v="9"/>
  </r>
  <r>
    <x v="5"/>
    <x v="1"/>
    <x v="3"/>
    <x v="1"/>
    <n v="12"/>
    <x v="92"/>
    <n v="17.5"/>
    <n v="3"/>
  </r>
  <r>
    <x v="5"/>
    <x v="1"/>
    <x v="3"/>
    <x v="2"/>
    <n v="59"/>
    <x v="93"/>
    <n v="8.6999999999999993"/>
    <n v="22"/>
  </r>
  <r>
    <x v="5"/>
    <x v="1"/>
    <x v="3"/>
    <x v="3"/>
    <n v="22"/>
    <x v="94"/>
    <n v="11.8"/>
    <n v="7"/>
  </r>
  <r>
    <x v="6"/>
    <x v="2"/>
    <x v="0"/>
    <x v="0"/>
    <n v="65"/>
    <x v="95"/>
    <n v="55"/>
    <n v="20"/>
  </r>
  <r>
    <x v="6"/>
    <x v="2"/>
    <x v="0"/>
    <x v="1"/>
    <n v="38"/>
    <x v="96"/>
    <n v="48.7"/>
    <n v="13"/>
  </r>
  <r>
    <x v="6"/>
    <x v="2"/>
    <x v="0"/>
    <x v="2"/>
    <n v="135"/>
    <x v="97"/>
    <n v="22.8"/>
    <n v="40"/>
  </r>
  <r>
    <x v="6"/>
    <x v="2"/>
    <x v="0"/>
    <x v="3"/>
    <n v="60"/>
    <x v="98"/>
    <n v="32.1"/>
    <n v="19"/>
  </r>
  <r>
    <x v="6"/>
    <x v="2"/>
    <x v="1"/>
    <x v="0"/>
    <n v="60"/>
    <x v="99"/>
    <n v="46"/>
    <n v="23"/>
  </r>
  <r>
    <x v="6"/>
    <x v="2"/>
    <x v="1"/>
    <x v="1"/>
    <n v="26"/>
    <x v="100"/>
    <n v="34.299999999999997"/>
    <n v="9"/>
  </r>
  <r>
    <x v="6"/>
    <x v="2"/>
    <x v="1"/>
    <x v="2"/>
    <n v="147"/>
    <x v="101"/>
    <n v="19.7"/>
    <n v="53"/>
  </r>
  <r>
    <x v="6"/>
    <x v="2"/>
    <x v="1"/>
    <x v="3"/>
    <n v="49"/>
    <x v="102"/>
    <n v="25.9"/>
    <n v="12"/>
  </r>
  <r>
    <x v="6"/>
    <x v="2"/>
    <x v="2"/>
    <x v="0"/>
    <n v="39"/>
    <x v="103"/>
    <n v="30.8"/>
    <n v="10"/>
  </r>
  <r>
    <x v="6"/>
    <x v="2"/>
    <x v="2"/>
    <x v="1"/>
    <n v="16"/>
    <x v="104"/>
    <n v="23.4"/>
    <n v="6"/>
  </r>
  <r>
    <x v="6"/>
    <x v="2"/>
    <x v="2"/>
    <x v="2"/>
    <n v="89"/>
    <x v="105"/>
    <n v="12"/>
    <n v="22"/>
  </r>
  <r>
    <x v="6"/>
    <x v="2"/>
    <x v="2"/>
    <x v="3"/>
    <n v="32"/>
    <x v="106"/>
    <n v="20.100000000000001"/>
    <n v="10"/>
  </r>
  <r>
    <x v="6"/>
    <x v="2"/>
    <x v="3"/>
    <x v="0"/>
    <n v="26"/>
    <x v="107"/>
    <n v="25.2"/>
    <n v="7"/>
  </r>
  <r>
    <x v="6"/>
    <x v="2"/>
    <x v="3"/>
    <x v="1"/>
    <n v="12"/>
    <x v="108"/>
    <n v="17.399999999999999"/>
    <n v="4"/>
  </r>
  <r>
    <x v="6"/>
    <x v="2"/>
    <x v="3"/>
    <x v="2"/>
    <n v="67"/>
    <x v="109"/>
    <n v="11.2"/>
    <n v="26"/>
  </r>
  <r>
    <x v="6"/>
    <x v="2"/>
    <x v="3"/>
    <x v="3"/>
    <n v="27"/>
    <x v="110"/>
    <n v="14.4"/>
    <n v="9"/>
  </r>
  <r>
    <x v="7"/>
    <x v="2"/>
    <x v="0"/>
    <x v="0"/>
    <n v="84"/>
    <x v="111"/>
    <n v="66.5"/>
    <n v="30"/>
  </r>
  <r>
    <x v="7"/>
    <x v="2"/>
    <x v="0"/>
    <x v="1"/>
    <n v="30"/>
    <x v="112"/>
    <n v="39"/>
    <n v="10"/>
  </r>
  <r>
    <x v="7"/>
    <x v="2"/>
    <x v="0"/>
    <x v="2"/>
    <n v="173"/>
    <x v="113"/>
    <n v="25.5"/>
    <n v="50"/>
  </r>
  <r>
    <x v="7"/>
    <x v="2"/>
    <x v="0"/>
    <x v="3"/>
    <n v="51"/>
    <x v="114"/>
    <n v="27.1"/>
    <n v="15"/>
  </r>
  <r>
    <x v="7"/>
    <x v="2"/>
    <x v="1"/>
    <x v="0"/>
    <n v="59"/>
    <x v="115"/>
    <n v="46.4"/>
    <n v="21"/>
  </r>
  <r>
    <x v="7"/>
    <x v="2"/>
    <x v="1"/>
    <x v="1"/>
    <n v="28"/>
    <x v="116"/>
    <n v="32.799999999999997"/>
    <n v="9"/>
  </r>
  <r>
    <x v="7"/>
    <x v="2"/>
    <x v="1"/>
    <x v="2"/>
    <n v="130"/>
    <x v="117"/>
    <n v="18.100000000000001"/>
    <n v="50"/>
  </r>
  <r>
    <x v="7"/>
    <x v="2"/>
    <x v="1"/>
    <x v="3"/>
    <n v="55"/>
    <x v="118"/>
    <n v="29.6"/>
    <n v="20"/>
  </r>
  <r>
    <x v="7"/>
    <x v="2"/>
    <x v="2"/>
    <x v="0"/>
    <n v="37"/>
    <x v="119"/>
    <n v="27.6"/>
    <n v="13"/>
  </r>
  <r>
    <x v="7"/>
    <x v="2"/>
    <x v="2"/>
    <x v="1"/>
    <n v="19"/>
    <x v="120"/>
    <n v="28.7"/>
    <n v="7"/>
  </r>
  <r>
    <x v="7"/>
    <x v="2"/>
    <x v="2"/>
    <x v="2"/>
    <n v="83"/>
    <x v="121"/>
    <n v="13.7"/>
    <n v="23"/>
  </r>
  <r>
    <x v="7"/>
    <x v="2"/>
    <x v="2"/>
    <x v="3"/>
    <n v="31"/>
    <x v="122"/>
    <n v="15"/>
    <n v="11"/>
  </r>
  <r>
    <x v="7"/>
    <x v="2"/>
    <x v="3"/>
    <x v="0"/>
    <n v="28"/>
    <x v="123"/>
    <n v="21.3"/>
    <n v="8"/>
  </r>
  <r>
    <x v="7"/>
    <x v="2"/>
    <x v="3"/>
    <x v="1"/>
    <n v="13"/>
    <x v="124"/>
    <n v="14.9"/>
    <n v="4"/>
  </r>
  <r>
    <x v="7"/>
    <x v="2"/>
    <x v="3"/>
    <x v="2"/>
    <n v="52"/>
    <x v="125"/>
    <n v="8.8000000000000007"/>
    <n v="17"/>
  </r>
  <r>
    <x v="7"/>
    <x v="2"/>
    <x v="3"/>
    <x v="3"/>
    <n v="20"/>
    <x v="126"/>
    <n v="11.1"/>
    <n v="6"/>
  </r>
  <r>
    <x v="8"/>
    <x v="2"/>
    <x v="0"/>
    <x v="0"/>
    <n v="86"/>
    <x v="127"/>
    <n v="66"/>
    <n v="32"/>
  </r>
  <r>
    <x v="8"/>
    <x v="2"/>
    <x v="0"/>
    <x v="1"/>
    <n v="29"/>
    <x v="128"/>
    <n v="36.9"/>
    <n v="10"/>
  </r>
  <r>
    <x v="8"/>
    <x v="2"/>
    <x v="0"/>
    <x v="2"/>
    <n v="195"/>
    <x v="129"/>
    <n v="27.1"/>
    <n v="72"/>
  </r>
  <r>
    <x v="8"/>
    <x v="2"/>
    <x v="0"/>
    <x v="3"/>
    <n v="71"/>
    <x v="130"/>
    <n v="38.1"/>
    <n v="20"/>
  </r>
  <r>
    <x v="8"/>
    <x v="2"/>
    <x v="1"/>
    <x v="0"/>
    <n v="53"/>
    <x v="131"/>
    <n v="43.4"/>
    <n v="19"/>
  </r>
  <r>
    <x v="8"/>
    <x v="2"/>
    <x v="1"/>
    <x v="1"/>
    <n v="31"/>
    <x v="132"/>
    <n v="35.5"/>
    <n v="11"/>
  </r>
  <r>
    <x v="8"/>
    <x v="2"/>
    <x v="1"/>
    <x v="2"/>
    <n v="139"/>
    <x v="133"/>
    <n v="20.399999999999999"/>
    <n v="37"/>
  </r>
  <r>
    <x v="8"/>
    <x v="2"/>
    <x v="1"/>
    <x v="3"/>
    <n v="53"/>
    <x v="134"/>
    <n v="35.6"/>
    <n v="13"/>
  </r>
  <r>
    <x v="8"/>
    <x v="2"/>
    <x v="2"/>
    <x v="0"/>
    <n v="44"/>
    <x v="135"/>
    <n v="35.6"/>
    <n v="14"/>
  </r>
  <r>
    <x v="8"/>
    <x v="2"/>
    <x v="2"/>
    <x v="1"/>
    <n v="20"/>
    <x v="136"/>
    <n v="22.7"/>
    <n v="7"/>
  </r>
  <r>
    <x v="8"/>
    <x v="2"/>
    <x v="2"/>
    <x v="2"/>
    <n v="90"/>
    <x v="137"/>
    <n v="13.6"/>
    <n v="31"/>
  </r>
  <r>
    <x v="8"/>
    <x v="2"/>
    <x v="2"/>
    <x v="3"/>
    <n v="33"/>
    <x v="138"/>
    <n v="19.600000000000001"/>
    <n v="10"/>
  </r>
  <r>
    <x v="8"/>
    <x v="2"/>
    <x v="3"/>
    <x v="0"/>
    <n v="30"/>
    <x v="139"/>
    <n v="24.3"/>
    <n v="9"/>
  </r>
  <r>
    <x v="8"/>
    <x v="2"/>
    <x v="3"/>
    <x v="1"/>
    <n v="14"/>
    <x v="140"/>
    <n v="21.3"/>
    <n v="6"/>
  </r>
  <r>
    <x v="8"/>
    <x v="2"/>
    <x v="3"/>
    <x v="2"/>
    <n v="73"/>
    <x v="141"/>
    <n v="11.5"/>
    <n v="23"/>
  </r>
  <r>
    <x v="8"/>
    <x v="2"/>
    <x v="3"/>
    <x v="3"/>
    <n v="26"/>
    <x v="142"/>
    <n v="16.5"/>
    <n v="10"/>
  </r>
  <r>
    <x v="9"/>
    <x v="3"/>
    <x v="0"/>
    <x v="0"/>
    <n v="81"/>
    <x v="143"/>
    <n v="68.5"/>
    <n v="29"/>
  </r>
  <r>
    <x v="9"/>
    <x v="3"/>
    <x v="0"/>
    <x v="1"/>
    <n v="36"/>
    <x v="144"/>
    <n v="49.6"/>
    <n v="9"/>
  </r>
  <r>
    <x v="9"/>
    <x v="3"/>
    <x v="0"/>
    <x v="2"/>
    <n v="194"/>
    <x v="145"/>
    <n v="27"/>
    <n v="66"/>
  </r>
  <r>
    <x v="9"/>
    <x v="3"/>
    <x v="0"/>
    <x v="3"/>
    <n v="70"/>
    <x v="146"/>
    <n v="30.2"/>
    <n v="19"/>
  </r>
  <r>
    <x v="9"/>
    <x v="3"/>
    <x v="1"/>
    <x v="0"/>
    <n v="62"/>
    <x v="147"/>
    <n v="58.8"/>
    <n v="24"/>
  </r>
  <r>
    <x v="9"/>
    <x v="3"/>
    <x v="1"/>
    <x v="1"/>
    <n v="29"/>
    <x v="148"/>
    <n v="39.5"/>
    <n v="11"/>
  </r>
  <r>
    <x v="9"/>
    <x v="3"/>
    <x v="1"/>
    <x v="2"/>
    <n v="136"/>
    <x v="149"/>
    <n v="21.9"/>
    <n v="49"/>
  </r>
  <r>
    <x v="9"/>
    <x v="3"/>
    <x v="1"/>
    <x v="3"/>
    <n v="59"/>
    <x v="150"/>
    <n v="33.6"/>
    <n v="22"/>
  </r>
  <r>
    <x v="9"/>
    <x v="3"/>
    <x v="2"/>
    <x v="0"/>
    <n v="42"/>
    <x v="151"/>
    <n v="31"/>
    <n v="12"/>
  </r>
  <r>
    <x v="9"/>
    <x v="3"/>
    <x v="2"/>
    <x v="1"/>
    <n v="20"/>
    <x v="152"/>
    <n v="26.4"/>
    <n v="6"/>
  </r>
  <r>
    <x v="9"/>
    <x v="3"/>
    <x v="2"/>
    <x v="2"/>
    <n v="108"/>
    <x v="153"/>
    <n v="14.8"/>
    <n v="31"/>
  </r>
  <r>
    <x v="9"/>
    <x v="3"/>
    <x v="2"/>
    <x v="3"/>
    <n v="33"/>
    <x v="154"/>
    <n v="16.600000000000001"/>
    <n v="9"/>
  </r>
  <r>
    <x v="9"/>
    <x v="3"/>
    <x v="3"/>
    <x v="0"/>
    <n v="31"/>
    <x v="155"/>
    <n v="29.7"/>
    <n v="9"/>
  </r>
  <r>
    <x v="9"/>
    <x v="3"/>
    <x v="3"/>
    <x v="1"/>
    <n v="16"/>
    <x v="156"/>
    <n v="20.2"/>
    <n v="5"/>
  </r>
  <r>
    <x v="9"/>
    <x v="3"/>
    <x v="3"/>
    <x v="2"/>
    <n v="64"/>
    <x v="157"/>
    <n v="9"/>
    <n v="18"/>
  </r>
  <r>
    <x v="9"/>
    <x v="3"/>
    <x v="3"/>
    <x v="3"/>
    <n v="25"/>
    <x v="158"/>
    <n v="11.4"/>
    <n v="7"/>
  </r>
  <r>
    <x v="10"/>
    <x v="3"/>
    <x v="0"/>
    <x v="0"/>
    <n v="104"/>
    <x v="159"/>
    <n v="85.2"/>
    <n v="28"/>
  </r>
  <r>
    <x v="10"/>
    <x v="3"/>
    <x v="0"/>
    <x v="1"/>
    <n v="46"/>
    <x v="160"/>
    <n v="56.9"/>
    <n v="15"/>
  </r>
  <r>
    <x v="10"/>
    <x v="3"/>
    <x v="0"/>
    <x v="2"/>
    <n v="183"/>
    <x v="161"/>
    <n v="28.8"/>
    <n v="47"/>
  </r>
  <r>
    <x v="10"/>
    <x v="3"/>
    <x v="0"/>
    <x v="3"/>
    <n v="87"/>
    <x v="162"/>
    <n v="43.9"/>
    <n v="27"/>
  </r>
  <r>
    <x v="10"/>
    <x v="3"/>
    <x v="1"/>
    <x v="0"/>
    <n v="62"/>
    <x v="163"/>
    <n v="59.7"/>
    <n v="17"/>
  </r>
  <r>
    <x v="10"/>
    <x v="3"/>
    <x v="1"/>
    <x v="1"/>
    <n v="38"/>
    <x v="164"/>
    <n v="42.6"/>
    <n v="10"/>
  </r>
  <r>
    <x v="10"/>
    <x v="3"/>
    <x v="1"/>
    <x v="2"/>
    <n v="189"/>
    <x v="165"/>
    <n v="27.6"/>
    <n v="54"/>
  </r>
  <r>
    <x v="10"/>
    <x v="3"/>
    <x v="1"/>
    <x v="3"/>
    <n v="62"/>
    <x v="166"/>
    <n v="33.6"/>
    <n v="23"/>
  </r>
  <r>
    <x v="10"/>
    <x v="3"/>
    <x v="2"/>
    <x v="0"/>
    <n v="56"/>
    <x v="167"/>
    <n v="43.6"/>
    <n v="19"/>
  </r>
  <r>
    <x v="10"/>
    <x v="3"/>
    <x v="2"/>
    <x v="1"/>
    <n v="22"/>
    <x v="168"/>
    <n v="34.6"/>
    <n v="6"/>
  </r>
  <r>
    <x v="10"/>
    <x v="3"/>
    <x v="2"/>
    <x v="2"/>
    <n v="105"/>
    <x v="169"/>
    <n v="15.2"/>
    <n v="27"/>
  </r>
  <r>
    <x v="10"/>
    <x v="3"/>
    <x v="2"/>
    <x v="3"/>
    <n v="36"/>
    <x v="170"/>
    <n v="19"/>
    <n v="11"/>
  </r>
  <r>
    <x v="10"/>
    <x v="3"/>
    <x v="3"/>
    <x v="0"/>
    <n v="35"/>
    <x v="171"/>
    <n v="29.9"/>
    <n v="11"/>
  </r>
  <r>
    <x v="10"/>
    <x v="3"/>
    <x v="3"/>
    <x v="1"/>
    <n v="18"/>
    <x v="172"/>
    <n v="24.7"/>
    <n v="6"/>
  </r>
  <r>
    <x v="10"/>
    <x v="3"/>
    <x v="3"/>
    <x v="2"/>
    <n v="81"/>
    <x v="173"/>
    <n v="13.9"/>
    <n v="27"/>
  </r>
  <r>
    <x v="10"/>
    <x v="3"/>
    <x v="3"/>
    <x v="3"/>
    <n v="33"/>
    <x v="174"/>
    <n v="18.600000000000001"/>
    <n v="9"/>
  </r>
  <r>
    <x v="11"/>
    <x v="3"/>
    <x v="0"/>
    <x v="0"/>
    <n v="98"/>
    <x v="175"/>
    <n v="74.2"/>
    <n v="33"/>
  </r>
  <r>
    <x v="11"/>
    <x v="3"/>
    <x v="0"/>
    <x v="1"/>
    <n v="44"/>
    <x v="176"/>
    <n v="50.2"/>
    <n v="16"/>
  </r>
  <r>
    <x v="11"/>
    <x v="3"/>
    <x v="0"/>
    <x v="2"/>
    <n v="248"/>
    <x v="177"/>
    <n v="37.200000000000003"/>
    <n v="65"/>
  </r>
  <r>
    <x v="11"/>
    <x v="3"/>
    <x v="0"/>
    <x v="3"/>
    <n v="72"/>
    <x v="178"/>
    <n v="39.6"/>
    <n v="21"/>
  </r>
  <r>
    <x v="11"/>
    <x v="3"/>
    <x v="1"/>
    <x v="0"/>
    <n v="83"/>
    <x v="179"/>
    <n v="74.7"/>
    <n v="28"/>
  </r>
  <r>
    <x v="11"/>
    <x v="3"/>
    <x v="1"/>
    <x v="1"/>
    <n v="44"/>
    <x v="180"/>
    <n v="64.599999999999994"/>
    <n v="13"/>
  </r>
  <r>
    <x v="11"/>
    <x v="3"/>
    <x v="1"/>
    <x v="2"/>
    <n v="168"/>
    <x v="181"/>
    <n v="27.4"/>
    <n v="58"/>
  </r>
  <r>
    <x v="11"/>
    <x v="3"/>
    <x v="1"/>
    <x v="3"/>
    <n v="80"/>
    <x v="182"/>
    <n v="38.4"/>
    <n v="28"/>
  </r>
  <r>
    <x v="11"/>
    <x v="3"/>
    <x v="2"/>
    <x v="0"/>
    <n v="54"/>
    <x v="183"/>
    <n v="41.2"/>
    <n v="16"/>
  </r>
  <r>
    <x v="11"/>
    <x v="3"/>
    <x v="2"/>
    <x v="1"/>
    <n v="25"/>
    <x v="184"/>
    <n v="37.799999999999997"/>
    <n v="9"/>
  </r>
  <r>
    <x v="11"/>
    <x v="3"/>
    <x v="2"/>
    <x v="2"/>
    <n v="124"/>
    <x v="185"/>
    <n v="19.899999999999999"/>
    <n v="41"/>
  </r>
  <r>
    <x v="11"/>
    <x v="3"/>
    <x v="2"/>
    <x v="3"/>
    <n v="44"/>
    <x v="186"/>
    <n v="23.3"/>
    <n v="17"/>
  </r>
  <r>
    <x v="11"/>
    <x v="3"/>
    <x v="3"/>
    <x v="0"/>
    <n v="44"/>
    <x v="187"/>
    <n v="33.6"/>
    <n v="15"/>
  </r>
  <r>
    <x v="11"/>
    <x v="3"/>
    <x v="3"/>
    <x v="1"/>
    <n v="17"/>
    <x v="188"/>
    <n v="23.5"/>
    <n v="5"/>
  </r>
  <r>
    <x v="11"/>
    <x v="3"/>
    <x v="3"/>
    <x v="2"/>
    <n v="100"/>
    <x v="189"/>
    <n v="14.8"/>
    <n v="28"/>
  </r>
  <r>
    <x v="11"/>
    <x v="3"/>
    <x v="3"/>
    <x v="3"/>
    <n v="34"/>
    <x v="190"/>
    <n v="20.7"/>
    <n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FE2F6E-8FAB-4916-B981-6784DD74A1CC}" name="PivotTable12" cacheId="2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B24" firstHeaderRow="1" firstDataRow="1" firstDataCol="1"/>
  <pivotFields count="8">
    <pivotField showAll="0"/>
    <pivotField showAll="0"/>
    <pivotField axis="axisRow" showAll="0" sortType="ascending">
      <items count="5">
        <item x="3"/>
        <item x="2"/>
        <item x="1"/>
        <item x="0"/>
        <item t="default"/>
      </items>
      <autoSortScope>
        <pivotArea dataOnly="0" outline="0" fieldPosition="0">
          <references count="1">
            <reference field="4294967294" count="1" selected="0">
              <x v="0"/>
            </reference>
          </references>
        </pivotArea>
      </autoSortScope>
    </pivotField>
    <pivotField axis="axisRow" showAll="0" sortType="ascending">
      <items count="5">
        <item x="0"/>
        <item x="3"/>
        <item x="1"/>
        <item x="2"/>
        <item t="default"/>
      </items>
      <autoSortScope>
        <pivotArea dataOnly="0" outline="0" fieldPosition="0">
          <references count="1">
            <reference field="4294967294" count="1" selected="0">
              <x v="0"/>
            </reference>
          </references>
        </pivotArea>
      </autoSortScope>
    </pivotField>
    <pivotField numFmtId="3" showAll="0"/>
    <pivotField numFmtId="164" showAll="0"/>
    <pivotField numFmtId="164" showAll="0"/>
    <pivotField dataField="1" numFmtId="3" showAll="0"/>
  </pivotFields>
  <rowFields count="2">
    <field x="2"/>
    <field x="3"/>
  </rowFields>
  <rowItems count="21">
    <i>
      <x/>
    </i>
    <i r="1">
      <x v="2"/>
    </i>
    <i r="1">
      <x v="1"/>
    </i>
    <i r="1">
      <x/>
    </i>
    <i r="1">
      <x v="3"/>
    </i>
    <i>
      <x v="1"/>
    </i>
    <i r="1">
      <x v="2"/>
    </i>
    <i r="1">
      <x v="1"/>
    </i>
    <i r="1">
      <x/>
    </i>
    <i r="1">
      <x v="3"/>
    </i>
    <i>
      <x v="2"/>
    </i>
    <i r="1">
      <x v="2"/>
    </i>
    <i r="1">
      <x v="1"/>
    </i>
    <i r="1">
      <x/>
    </i>
    <i r="1">
      <x v="3"/>
    </i>
    <i>
      <x v="3"/>
    </i>
    <i r="1">
      <x v="2"/>
    </i>
    <i r="1">
      <x v="1"/>
    </i>
    <i r="1">
      <x/>
    </i>
    <i r="1">
      <x v="3"/>
    </i>
    <i t="grand">
      <x/>
    </i>
  </rowItems>
  <colItems count="1">
    <i/>
  </colItems>
  <dataFields count="1">
    <dataField name="Sum of Khách hàng mới" fld="7"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2" count="1" selected="0">
            <x v="2"/>
          </reference>
          <reference field="3" count="1" selected="0">
            <x v="3"/>
          </reference>
        </references>
      </pivotArea>
    </chartFormat>
    <chartFormat chart="0" format="2">
      <pivotArea type="data" outline="0" fieldPosition="0">
        <references count="3">
          <reference field="4294967294" count="1" selected="0">
            <x v="0"/>
          </reference>
          <reference field="2" count="1" selected="0">
            <x v="3"/>
          </reference>
          <reference field="3" count="1" selected="0">
            <x v="3"/>
          </reference>
        </references>
      </pivotArea>
    </chartFormat>
    <chartFormat chart="0" format="3">
      <pivotArea type="data" outline="0" fieldPosition="0">
        <references count="3">
          <reference field="4294967294" count="1" selected="0">
            <x v="0"/>
          </reference>
          <reference field="2"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0E00A4-1976-4142-B889-F30B9520C3F2}" name="PivotTable13" cacheId="2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B16" firstHeaderRow="1" firstDataRow="1" firstDataCol="1"/>
  <pivotFields count="8">
    <pivotField axis="axisRow" showAll="0">
      <items count="13">
        <item x="0"/>
        <item x="1"/>
        <item x="2"/>
        <item x="3"/>
        <item x="4"/>
        <item x="5"/>
        <item x="6"/>
        <item x="7"/>
        <item x="8"/>
        <item x="9"/>
        <item x="10"/>
        <item x="11"/>
        <item t="default"/>
      </items>
    </pivotField>
    <pivotField showAll="0"/>
    <pivotField showAll="0"/>
    <pivotField showAll="0"/>
    <pivotField dataField="1" numFmtId="3" showAll="0"/>
    <pivotField numFmtId="164" showAll="0"/>
    <pivotField numFmtId="164" showAll="0"/>
    <pivotField numFmtId="3" showAll="0"/>
  </pivotFields>
  <rowFields count="1">
    <field x="0"/>
  </rowFields>
  <rowItems count="13">
    <i>
      <x/>
    </i>
    <i>
      <x v="1"/>
    </i>
    <i>
      <x v="2"/>
    </i>
    <i>
      <x v="3"/>
    </i>
    <i>
      <x v="4"/>
    </i>
    <i>
      <x v="5"/>
    </i>
    <i>
      <x v="6"/>
    </i>
    <i>
      <x v="7"/>
    </i>
    <i>
      <x v="8"/>
    </i>
    <i>
      <x v="9"/>
    </i>
    <i>
      <x v="10"/>
    </i>
    <i>
      <x v="11"/>
    </i>
    <i t="grand">
      <x/>
    </i>
  </rowItems>
  <colItems count="1">
    <i/>
  </colItems>
  <dataFields count="1">
    <dataField name="Sum of Số đơn hàng" fld="4" showDataAs="runTotal"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997AFD8-F265-49B7-ADF9-53CF0706ADDF}" name="PivotTable1" cacheId="2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3:B16" firstHeaderRow="1" firstDataRow="1" firstDataCol="1"/>
  <pivotFields count="8">
    <pivotField axis="axisRow" showAll="0">
      <items count="13">
        <item x="0"/>
        <item x="1"/>
        <item x="2"/>
        <item x="3"/>
        <item x="4"/>
        <item x="5"/>
        <item x="6"/>
        <item x="7"/>
        <item x="8"/>
        <item x="9"/>
        <item x="10"/>
        <item x="11"/>
        <item t="default"/>
      </items>
    </pivotField>
    <pivotField showAll="0"/>
    <pivotField showAll="0"/>
    <pivotField showAll="0"/>
    <pivotField numFmtId="3" showAll="0"/>
    <pivotField dataField="1" numFmtId="164" showAll="0">
      <items count="192">
        <item x="77"/>
        <item x="45"/>
        <item x="125"/>
        <item x="61"/>
        <item x="93"/>
        <item x="109"/>
        <item x="157"/>
        <item x="30"/>
        <item x="141"/>
        <item x="14"/>
        <item x="41"/>
        <item x="62"/>
        <item x="73"/>
        <item x="57"/>
        <item x="46"/>
        <item x="78"/>
        <item x="173"/>
        <item x="137"/>
        <item x="26"/>
        <item x="126"/>
        <item x="89"/>
        <item x="31"/>
        <item x="105"/>
        <item x="121"/>
        <item x="94"/>
        <item x="189"/>
        <item x="158"/>
        <item x="110"/>
        <item x="153"/>
        <item x="142"/>
        <item x="10"/>
        <item x="169"/>
        <item x="42"/>
        <item x="185"/>
        <item x="53"/>
        <item x="90"/>
        <item x="37"/>
        <item x="85"/>
        <item x="174"/>
        <item x="58"/>
        <item x="69"/>
        <item x="22"/>
        <item x="74"/>
        <item x="138"/>
        <item x="15"/>
        <item x="34"/>
        <item x="122"/>
        <item x="133"/>
        <item x="117"/>
        <item x="27"/>
        <item x="190"/>
        <item x="149"/>
        <item x="106"/>
        <item x="101"/>
        <item x="154"/>
        <item x="11"/>
        <item x="170"/>
        <item x="65"/>
        <item x="97"/>
        <item x="60"/>
        <item x="49"/>
        <item x="81"/>
        <item x="113"/>
        <item x="181"/>
        <item x="108"/>
        <item x="38"/>
        <item x="76"/>
        <item x="70"/>
        <item x="44"/>
        <item x="18"/>
        <item x="165"/>
        <item x="6"/>
        <item x="186"/>
        <item x="29"/>
        <item x="75"/>
        <item x="92"/>
        <item x="2"/>
        <item x="43"/>
        <item x="129"/>
        <item x="91"/>
        <item x="124"/>
        <item x="54"/>
        <item x="86"/>
        <item x="59"/>
        <item x="145"/>
        <item x="161"/>
        <item x="56"/>
        <item x="50"/>
        <item x="118"/>
        <item x="102"/>
        <item x="156"/>
        <item x="107"/>
        <item x="13"/>
        <item x="114"/>
        <item x="66"/>
        <item x="140"/>
        <item x="23"/>
        <item x="123"/>
        <item x="134"/>
        <item x="98"/>
        <item x="72"/>
        <item x="25"/>
        <item x="82"/>
        <item x="28"/>
        <item x="150"/>
        <item x="139"/>
        <item x="172"/>
        <item x="55"/>
        <item x="177"/>
        <item x="104"/>
        <item x="40"/>
        <item x="166"/>
        <item x="3"/>
        <item x="39"/>
        <item x="146"/>
        <item x="155"/>
        <item x="130"/>
        <item x="7"/>
        <item x="88"/>
        <item x="188"/>
        <item x="171"/>
        <item x="19"/>
        <item x="71"/>
        <item x="120"/>
        <item x="12"/>
        <item x="136"/>
        <item x="103"/>
        <item x="152"/>
        <item x="178"/>
        <item x="119"/>
        <item x="182"/>
        <item x="68"/>
        <item x="187"/>
        <item x="135"/>
        <item x="151"/>
        <item x="87"/>
        <item x="162"/>
        <item x="36"/>
        <item x="9"/>
        <item x="168"/>
        <item x="52"/>
        <item x="24"/>
        <item x="184"/>
        <item x="8"/>
        <item x="80"/>
        <item x="84"/>
        <item x="21"/>
        <item x="48"/>
        <item x="51"/>
        <item x="116"/>
        <item x="100"/>
        <item x="83"/>
        <item x="132"/>
        <item x="35"/>
        <item x="167"/>
        <item x="67"/>
        <item x="64"/>
        <item x="183"/>
        <item x="63"/>
        <item x="33"/>
        <item x="17"/>
        <item x="131"/>
        <item x="112"/>
        <item x="47"/>
        <item x="128"/>
        <item x="148"/>
        <item x="99"/>
        <item x="115"/>
        <item x="144"/>
        <item x="164"/>
        <item x="20"/>
        <item x="96"/>
        <item x="5"/>
        <item x="147"/>
        <item x="163"/>
        <item x="4"/>
        <item x="95"/>
        <item x="32"/>
        <item x="79"/>
        <item x="1"/>
        <item x="180"/>
        <item x="111"/>
        <item x="179"/>
        <item x="176"/>
        <item x="160"/>
        <item x="16"/>
        <item x="127"/>
        <item x="143"/>
        <item x="0"/>
        <item x="175"/>
        <item x="159"/>
        <item t="default"/>
      </items>
    </pivotField>
    <pivotField numFmtId="164" showAll="0"/>
    <pivotField numFmtId="3" showAll="0"/>
  </pivotFields>
  <rowFields count="1">
    <field x="0"/>
  </rowFields>
  <rowItems count="13">
    <i>
      <x/>
    </i>
    <i>
      <x v="1"/>
    </i>
    <i>
      <x v="2"/>
    </i>
    <i>
      <x v="3"/>
    </i>
    <i>
      <x v="4"/>
    </i>
    <i>
      <x v="5"/>
    </i>
    <i>
      <x v="6"/>
    </i>
    <i>
      <x v="7"/>
    </i>
    <i>
      <x v="8"/>
    </i>
    <i>
      <x v="9"/>
    </i>
    <i>
      <x v="10"/>
    </i>
    <i>
      <x v="11"/>
    </i>
    <i t="grand">
      <x/>
    </i>
  </rowItems>
  <colItems count="1">
    <i/>
  </colItems>
  <dataFields count="1">
    <dataField name="Sum of Doanh thu (trđ)" fld="5" baseField="0" baseItem="0"/>
  </dataFields>
  <formats count="18">
    <format dxfId="59">
      <pivotArea type="all" dataOnly="0" outline="0" fieldPosition="0"/>
    </format>
    <format dxfId="58">
      <pivotArea outline="0" collapsedLevelsAreSubtotals="1" fieldPosition="0"/>
    </format>
    <format dxfId="57">
      <pivotArea field="0" type="button" dataOnly="0" labelOnly="1" outline="0" axis="axisRow" fieldPosition="0"/>
    </format>
    <format dxfId="56">
      <pivotArea dataOnly="0" labelOnly="1" fieldPosition="0">
        <references count="1">
          <reference field="0" count="0"/>
        </references>
      </pivotArea>
    </format>
    <format dxfId="55">
      <pivotArea dataOnly="0" labelOnly="1" grandRow="1" outline="0" fieldPosition="0"/>
    </format>
    <format dxfId="54">
      <pivotArea dataOnly="0" labelOnly="1" outline="0" axis="axisValues" fieldPosition="0"/>
    </format>
    <format dxfId="53">
      <pivotArea type="all" dataOnly="0" outline="0" fieldPosition="0"/>
    </format>
    <format dxfId="52">
      <pivotArea outline="0" collapsedLevelsAreSubtotals="1" fieldPosition="0"/>
    </format>
    <format dxfId="51">
      <pivotArea field="0" type="button" dataOnly="0" labelOnly="1" outline="0" axis="axisRow" fieldPosition="0"/>
    </format>
    <format dxfId="50">
      <pivotArea dataOnly="0" labelOnly="1" fieldPosition="0">
        <references count="1">
          <reference field="0" count="0"/>
        </references>
      </pivotArea>
    </format>
    <format dxfId="49">
      <pivotArea dataOnly="0" labelOnly="1" grandRow="1" outline="0" fieldPosition="0"/>
    </format>
    <format dxfId="48">
      <pivotArea dataOnly="0" labelOnly="1" outline="0" axis="axisValues" fieldPosition="0"/>
    </format>
    <format dxfId="47">
      <pivotArea type="all" dataOnly="0" outline="0" fieldPosition="0"/>
    </format>
    <format dxfId="46">
      <pivotArea outline="0" collapsedLevelsAreSubtotals="1" fieldPosition="0"/>
    </format>
    <format dxfId="45">
      <pivotArea field="0" type="button" dataOnly="0" labelOnly="1" outline="0" axis="axisRow" fieldPosition="0"/>
    </format>
    <format dxfId="44">
      <pivotArea dataOnly="0" labelOnly="1" fieldPosition="0">
        <references count="1">
          <reference field="0" count="0"/>
        </references>
      </pivotArea>
    </format>
    <format dxfId="43">
      <pivotArea dataOnly="0" labelOnly="1" grandRow="1" outline="0" fieldPosition="0"/>
    </format>
    <format dxfId="42">
      <pivotArea dataOnly="0" labelOnly="1" outline="0" axis="axisValues" fieldPosition="0"/>
    </format>
  </format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2C40BBF-423E-40B5-9B83-84411966AD3C}" name="PivotTable2" cacheId="2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B8" firstHeaderRow="1" firstDataRow="1" firstDataCol="1"/>
  <pivotFields count="8">
    <pivotField showAll="0"/>
    <pivotField showAll="0"/>
    <pivotField axis="axisRow" showAll="0">
      <items count="5">
        <item x="3"/>
        <item x="2"/>
        <item x="1"/>
        <item x="0"/>
        <item t="default"/>
      </items>
    </pivotField>
    <pivotField showAll="0"/>
    <pivotField numFmtId="3" showAll="0"/>
    <pivotField dataField="1" numFmtId="164" showAll="0"/>
    <pivotField numFmtId="164" showAll="0"/>
    <pivotField numFmtId="3" showAll="0"/>
  </pivotFields>
  <rowFields count="1">
    <field x="2"/>
  </rowFields>
  <rowItems count="5">
    <i>
      <x/>
    </i>
    <i>
      <x v="1"/>
    </i>
    <i>
      <x v="2"/>
    </i>
    <i>
      <x v="3"/>
    </i>
    <i t="grand">
      <x/>
    </i>
  </rowItems>
  <colItems count="1">
    <i/>
  </colItems>
  <dataFields count="1">
    <dataField name="Sum of Doanh thu (trđ)" fld="5" baseField="0" baseItem="0"/>
  </dataFields>
  <formats count="18">
    <format dxfId="65">
      <pivotArea type="all" dataOnly="0" outline="0" fieldPosition="0"/>
    </format>
    <format dxfId="64">
      <pivotArea outline="0" collapsedLevelsAreSubtotals="1" fieldPosition="0"/>
    </format>
    <format dxfId="63">
      <pivotArea field="2" type="button" dataOnly="0" labelOnly="1" outline="0" axis="axisRow" fieldPosition="0"/>
    </format>
    <format dxfId="62">
      <pivotArea dataOnly="0" labelOnly="1" fieldPosition="0">
        <references count="1">
          <reference field="2" count="0"/>
        </references>
      </pivotArea>
    </format>
    <format dxfId="61">
      <pivotArea dataOnly="0" labelOnly="1" grandRow="1" outline="0" fieldPosition="0"/>
    </format>
    <format dxfId="60">
      <pivotArea dataOnly="0" labelOnly="1" outline="0" axis="axisValues" fieldPosition="0"/>
    </format>
    <format dxfId="41">
      <pivotArea type="all" dataOnly="0" outline="0" fieldPosition="0"/>
    </format>
    <format dxfId="40">
      <pivotArea outline="0" collapsedLevelsAreSubtotals="1" fieldPosition="0"/>
    </format>
    <format dxfId="39">
      <pivotArea field="2" type="button" dataOnly="0" labelOnly="1" outline="0" axis="axisRow" fieldPosition="0"/>
    </format>
    <format dxfId="38">
      <pivotArea dataOnly="0" labelOnly="1" fieldPosition="0">
        <references count="1">
          <reference field="2" count="0"/>
        </references>
      </pivotArea>
    </format>
    <format dxfId="37">
      <pivotArea dataOnly="0" labelOnly="1" grandRow="1" outline="0" fieldPosition="0"/>
    </format>
    <format dxfId="36">
      <pivotArea dataOnly="0" labelOnly="1" outline="0" axis="axisValues" fieldPosition="0"/>
    </format>
    <format dxfId="35">
      <pivotArea type="all" dataOnly="0" outline="0" fieldPosition="0"/>
    </format>
    <format dxfId="34">
      <pivotArea outline="0" collapsedLevelsAreSubtotals="1" fieldPosition="0"/>
    </format>
    <format dxfId="33">
      <pivotArea field="2" type="button" dataOnly="0" labelOnly="1" outline="0" axis="axisRow" fieldPosition="0"/>
    </format>
    <format dxfId="32">
      <pivotArea dataOnly="0" labelOnly="1" fieldPosition="0">
        <references count="1">
          <reference field="2" count="0"/>
        </references>
      </pivotArea>
    </format>
    <format dxfId="31">
      <pivotArea dataOnly="0" labelOnly="1" grandRow="1" outline="0" fieldPosition="0"/>
    </format>
    <format dxfId="30">
      <pivotArea dataOnly="0" labelOnly="1" outline="0" axis="axisValues" fieldPosition="0"/>
    </format>
  </formats>
  <chartFormats count="5">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 count="1" selected="0">
            <x v="3"/>
          </reference>
        </references>
      </pivotArea>
    </chartFormat>
    <chartFormat chart="1" format="2">
      <pivotArea type="data" outline="0" fieldPosition="0">
        <references count="2">
          <reference field="4294967294" count="1" selected="0">
            <x v="0"/>
          </reference>
          <reference field="2" count="1" selected="0">
            <x v="0"/>
          </reference>
        </references>
      </pivotArea>
    </chartFormat>
    <chartFormat chart="1" format="3">
      <pivotArea type="data" outline="0" fieldPosition="0">
        <references count="2">
          <reference field="4294967294" count="1" selected="0">
            <x v="0"/>
          </reference>
          <reference field="2" count="1" selected="0">
            <x v="2"/>
          </reference>
        </references>
      </pivotArea>
    </chartFormat>
    <chartFormat chart="1" format="4">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C99E0E2-D0AD-457E-A07D-A5143D4AF102}" name="PivotTable3" cacheId="2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fieldListSortAscending="1">
  <location ref="A3:B8" firstHeaderRow="1" firstDataRow="1" firstDataCol="1"/>
  <pivotFields count="8">
    <pivotField showAll="0"/>
    <pivotField showAll="0"/>
    <pivotField showAll="0"/>
    <pivotField axis="axisRow" showAll="0">
      <items count="5">
        <item x="0"/>
        <item x="3"/>
        <item x="1"/>
        <item x="2"/>
        <item t="default"/>
      </items>
    </pivotField>
    <pivotField numFmtId="3" showAll="0"/>
    <pivotField dataField="1" numFmtId="164" showAll="0"/>
    <pivotField numFmtId="164" showAll="0"/>
    <pivotField numFmtId="3" showAll="0"/>
  </pivotFields>
  <rowFields count="1">
    <field x="3"/>
  </rowFields>
  <rowItems count="5">
    <i>
      <x/>
    </i>
    <i>
      <x v="1"/>
    </i>
    <i>
      <x v="2"/>
    </i>
    <i>
      <x v="3"/>
    </i>
    <i t="grand">
      <x/>
    </i>
  </rowItems>
  <colItems count="1">
    <i/>
  </colItems>
  <dataFields count="1">
    <dataField name="Sum of Doanh thu (trđ)" fld="5" baseField="0" baseItem="0"/>
  </dataFields>
  <formats count="18">
    <format dxfId="71">
      <pivotArea type="all" dataOnly="0" outline="0" fieldPosition="0"/>
    </format>
    <format dxfId="70">
      <pivotArea outline="0" collapsedLevelsAreSubtotals="1" fieldPosition="0"/>
    </format>
    <format dxfId="69">
      <pivotArea field="3" type="button" dataOnly="0" labelOnly="1" outline="0" axis="axisRow" fieldPosition="0"/>
    </format>
    <format dxfId="68">
      <pivotArea dataOnly="0" labelOnly="1" fieldPosition="0">
        <references count="1">
          <reference field="3" count="0"/>
        </references>
      </pivotArea>
    </format>
    <format dxfId="67">
      <pivotArea dataOnly="0" labelOnly="1" grandRow="1" outline="0" fieldPosition="0"/>
    </format>
    <format dxfId="66">
      <pivotArea dataOnly="0" labelOnly="1" outline="0" axis="axisValues" fieldPosition="0"/>
    </format>
    <format dxfId="29">
      <pivotArea type="all" dataOnly="0" outline="0" fieldPosition="0"/>
    </format>
    <format dxfId="28">
      <pivotArea outline="0" collapsedLevelsAreSubtotals="1" fieldPosition="0"/>
    </format>
    <format dxfId="27">
      <pivotArea field="3" type="button" dataOnly="0" labelOnly="1" outline="0" axis="axisRow" fieldPosition="0"/>
    </format>
    <format dxfId="26">
      <pivotArea dataOnly="0" labelOnly="1" fieldPosition="0">
        <references count="1">
          <reference field="3" count="0"/>
        </references>
      </pivotArea>
    </format>
    <format dxfId="25">
      <pivotArea dataOnly="0" labelOnly="1" grandRow="1" outline="0" fieldPosition="0"/>
    </format>
    <format dxfId="24">
      <pivotArea dataOnly="0" labelOnly="1" outline="0" axis="axisValues" fieldPosition="0"/>
    </format>
    <format dxfId="23">
      <pivotArea type="all" dataOnly="0" outline="0" fieldPosition="0"/>
    </format>
    <format dxfId="22">
      <pivotArea outline="0" collapsedLevelsAreSubtotals="1" fieldPosition="0"/>
    </format>
    <format dxfId="21">
      <pivotArea field="3" type="button" dataOnly="0" labelOnly="1" outline="0" axis="axisRow" fieldPosition="0"/>
    </format>
    <format dxfId="20">
      <pivotArea dataOnly="0" labelOnly="1" fieldPosition="0">
        <references count="1">
          <reference field="3" count="0"/>
        </references>
      </pivotArea>
    </format>
    <format dxfId="19">
      <pivotArea dataOnly="0" labelOnly="1" grandRow="1" outline="0" fieldPosition="0"/>
    </format>
    <format dxfId="18">
      <pivotArea dataOnly="0" labelOnly="1" outline="0" axis="axisValues" fieldPosition="0"/>
    </format>
  </formats>
  <chartFormats count="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3" count="1" selected="0">
            <x v="0"/>
          </reference>
        </references>
      </pivotArea>
    </chartFormat>
    <chartFormat chart="1" format="2">
      <pivotArea type="data" outline="0" fieldPosition="0">
        <references count="2">
          <reference field="4294967294" count="1" selected="0">
            <x v="0"/>
          </reference>
          <reference field="3" count="1" selected="0">
            <x v="3"/>
          </reference>
        </references>
      </pivotArea>
    </chartFormat>
    <chartFormat chart="1" format="3">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A51565E-34B3-4CDB-A1BC-983E93D7EB01}" name="PivotTable4" cacheId="2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F9" firstHeaderRow="1" firstDataRow="2" firstDataCol="1"/>
  <pivotFields count="8">
    <pivotField showAll="0"/>
    <pivotField axis="axisRow" showAll="0">
      <items count="5">
        <item x="0"/>
        <item x="1"/>
        <item x="2"/>
        <item x="3"/>
        <item t="default"/>
      </items>
    </pivotField>
    <pivotField axis="axisCol" showAll="0">
      <items count="5">
        <item x="3"/>
        <item x="2"/>
        <item x="1"/>
        <item x="0"/>
        <item t="default"/>
      </items>
    </pivotField>
    <pivotField showAll="0"/>
    <pivotField numFmtId="3" showAll="0"/>
    <pivotField dataField="1" numFmtId="164" showAll="0"/>
    <pivotField numFmtId="164" showAll="0"/>
    <pivotField numFmtId="3" showAll="0"/>
  </pivotFields>
  <rowFields count="1">
    <field x="1"/>
  </rowFields>
  <rowItems count="5">
    <i>
      <x/>
    </i>
    <i>
      <x v="1"/>
    </i>
    <i>
      <x v="2"/>
    </i>
    <i>
      <x v="3"/>
    </i>
    <i t="grand">
      <x/>
    </i>
  </rowItems>
  <colFields count="1">
    <field x="2"/>
  </colFields>
  <colItems count="5">
    <i>
      <x/>
    </i>
    <i>
      <x v="1"/>
    </i>
    <i>
      <x v="2"/>
    </i>
    <i>
      <x v="3"/>
    </i>
    <i t="grand">
      <x/>
    </i>
  </colItems>
  <dataFields count="1">
    <dataField name="Sum of Doanh thu (trđ)" fld="5" baseField="0" baseItem="0"/>
  </dataField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D7D51D8-7865-4AF3-AF6F-F9E992786503}" name="PivotTable11" cacheId="2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C16" firstHeaderRow="0" firstDataRow="1" firstDataCol="1"/>
  <pivotFields count="8">
    <pivotField axis="axisRow" showAll="0">
      <items count="13">
        <item x="0"/>
        <item x="1"/>
        <item x="2"/>
        <item x="3"/>
        <item x="4"/>
        <item x="5"/>
        <item x="6"/>
        <item x="7"/>
        <item x="8"/>
        <item x="9"/>
        <item x="10"/>
        <item x="11"/>
        <item t="default"/>
      </items>
    </pivotField>
    <pivotField showAll="0"/>
    <pivotField showAll="0"/>
    <pivotField showAll="0"/>
    <pivotField dataField="1" numFmtId="3" showAll="0"/>
    <pivotField dataField="1" numFmtId="164" showAll="0"/>
    <pivotField numFmtId="164" showAll="0"/>
    <pivotField numFmtId="3" showAll="0"/>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Sum of Doanh thu (trđ)" fld="5" baseField="0" baseItem="0"/>
    <dataField name="Sum of Số đơn hàng" fld="4" baseField="0" baseItem="0"/>
  </dataFields>
  <formats count="18">
    <format dxfId="17">
      <pivotArea type="all" dataOnly="0" outline="0" fieldPosition="0"/>
    </format>
    <format dxfId="16">
      <pivotArea outline="0" collapsedLevelsAreSubtotals="1" fieldPosition="0"/>
    </format>
    <format dxfId="15">
      <pivotArea field="0" type="button" dataOnly="0" labelOnly="1" outline="0" axis="axisRow" fieldPosition="0"/>
    </format>
    <format dxfId="14">
      <pivotArea dataOnly="0" labelOnly="1" fieldPosition="0">
        <references count="1">
          <reference field="0" count="0"/>
        </references>
      </pivotArea>
    </format>
    <format dxfId="13">
      <pivotArea dataOnly="0" labelOnly="1" grandRow="1" outline="0" fieldPosition="0"/>
    </format>
    <format dxfId="12">
      <pivotArea dataOnly="0" labelOnly="1" outline="0" fieldPosition="0">
        <references count="1">
          <reference field="4294967294" count="2">
            <x v="0"/>
            <x v="1"/>
          </reference>
        </references>
      </pivotArea>
    </format>
    <format dxfId="11">
      <pivotArea type="all" dataOnly="0" outline="0" fieldPosition="0"/>
    </format>
    <format dxfId="10">
      <pivotArea outline="0" collapsedLevelsAreSubtotals="1" fieldPosition="0"/>
    </format>
    <format dxfId="9">
      <pivotArea field="0" type="button" dataOnly="0" labelOnly="1" outline="0" axis="axisRow" fieldPosition="0"/>
    </format>
    <format dxfId="8">
      <pivotArea dataOnly="0" labelOnly="1" fieldPosition="0">
        <references count="1">
          <reference field="0" count="0"/>
        </references>
      </pivotArea>
    </format>
    <format dxfId="7">
      <pivotArea dataOnly="0" labelOnly="1" grandRow="1" outline="0" fieldPosition="0"/>
    </format>
    <format dxfId="6">
      <pivotArea dataOnly="0" labelOnly="1" outline="0" fieldPosition="0">
        <references count="1">
          <reference field="4294967294" count="2">
            <x v="0"/>
            <x v="1"/>
          </reference>
        </references>
      </pivotArea>
    </format>
    <format dxfId="5">
      <pivotArea type="all" dataOnly="0" outline="0" fieldPosition="0"/>
    </format>
    <format dxfId="4">
      <pivotArea outline="0" collapsedLevelsAreSubtotals="1" fieldPosition="0"/>
    </format>
    <format dxfId="3">
      <pivotArea field="0" type="button" dataOnly="0" labelOnly="1" outline="0" axis="axisRow" fieldPosition="0"/>
    </format>
    <format dxfId="2">
      <pivotArea dataOnly="0" labelOnly="1" fieldPosition="0">
        <references count="1">
          <reference field="0" count="0"/>
        </references>
      </pivotArea>
    </format>
    <format dxfId="1">
      <pivotArea dataOnly="0" labelOnly="1" grandRow="1" outline="0" fieldPosition="0"/>
    </format>
    <format dxfId="0">
      <pivotArea dataOnly="0" labelOnly="1" outline="0" fieldPosition="0">
        <references count="1">
          <reference field="4294967294" count="2">
            <x v="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DC357-5372-464C-9F28-1703A43AC765}">
  <dimension ref="A1:F15"/>
  <sheetViews>
    <sheetView workbookViewId="0">
      <selection activeCell="A21" sqref="A21"/>
    </sheetView>
  </sheetViews>
  <sheetFormatPr defaultColWidth="8.6640625" defaultRowHeight="14.4" x14ac:dyDescent="0.3"/>
  <cols>
    <col min="1" max="1" width="34" customWidth="1"/>
    <col min="2" max="2" width="26" customWidth="1"/>
    <col min="3" max="3" width="22" customWidth="1"/>
    <col min="4" max="4" width="18" customWidth="1"/>
    <col min="5" max="6" width="16" customWidth="1"/>
  </cols>
  <sheetData>
    <row r="1" spans="1:6" ht="21" x14ac:dyDescent="0.3">
      <c r="A1" s="19" t="s">
        <v>48</v>
      </c>
      <c r="B1" s="19"/>
      <c r="C1" s="19"/>
      <c r="D1" s="19"/>
      <c r="E1" s="19"/>
      <c r="F1" s="19"/>
    </row>
    <row r="2" spans="1:6" ht="25.5" customHeight="1" x14ac:dyDescent="0.3">
      <c r="A2" s="20" t="s">
        <v>49</v>
      </c>
      <c r="B2" s="20"/>
      <c r="C2" s="20"/>
      <c r="D2" s="20"/>
      <c r="E2" s="20"/>
      <c r="F2" s="20"/>
    </row>
    <row r="4" spans="1:6" x14ac:dyDescent="0.3">
      <c r="A4" s="1" t="s">
        <v>50</v>
      </c>
      <c r="B4" s="21" t="s">
        <v>51</v>
      </c>
      <c r="C4" s="21"/>
      <c r="D4" s="21"/>
      <c r="E4" s="21"/>
      <c r="F4" s="21"/>
    </row>
    <row r="6" spans="1:6" x14ac:dyDescent="0.3">
      <c r="A6" s="2" t="s">
        <v>52</v>
      </c>
      <c r="B6" s="1" t="s">
        <v>53</v>
      </c>
      <c r="C6" s="1" t="s">
        <v>54</v>
      </c>
      <c r="D6" s="1" t="s">
        <v>55</v>
      </c>
      <c r="E6" s="22" t="s">
        <v>56</v>
      </c>
      <c r="F6" s="22"/>
    </row>
    <row r="7" spans="1:6" ht="27.6" x14ac:dyDescent="0.3">
      <c r="A7" s="15" t="s">
        <v>57</v>
      </c>
      <c r="B7" s="6" t="s">
        <v>58</v>
      </c>
      <c r="C7" s="16" t="s">
        <v>59</v>
      </c>
      <c r="D7" s="17" t="s">
        <v>60</v>
      </c>
      <c r="E7" s="18" t="s">
        <v>61</v>
      </c>
      <c r="F7" s="18"/>
    </row>
    <row r="8" spans="1:6" x14ac:dyDescent="0.3">
      <c r="A8" s="15" t="s">
        <v>62</v>
      </c>
      <c r="B8" s="6" t="s">
        <v>63</v>
      </c>
      <c r="C8" s="16" t="s">
        <v>64</v>
      </c>
      <c r="D8" s="17" t="s">
        <v>65</v>
      </c>
      <c r="E8" s="18" t="s">
        <v>66</v>
      </c>
      <c r="F8" s="18"/>
    </row>
    <row r="9" spans="1:6" ht="26.4" x14ac:dyDescent="0.3">
      <c r="A9" s="15" t="s">
        <v>67</v>
      </c>
      <c r="B9" s="6" t="s">
        <v>68</v>
      </c>
      <c r="C9" s="16" t="s">
        <v>69</v>
      </c>
      <c r="D9" s="17" t="s">
        <v>70</v>
      </c>
      <c r="E9" s="18" t="s">
        <v>71</v>
      </c>
      <c r="F9" s="18"/>
    </row>
    <row r="10" spans="1:6" ht="27.6" x14ac:dyDescent="0.3">
      <c r="A10" s="15" t="s">
        <v>72</v>
      </c>
      <c r="B10" s="6" t="s">
        <v>73</v>
      </c>
      <c r="C10" s="16" t="s">
        <v>74</v>
      </c>
      <c r="D10" s="17" t="s">
        <v>70</v>
      </c>
      <c r="E10" s="18" t="s">
        <v>75</v>
      </c>
      <c r="F10" s="18"/>
    </row>
    <row r="11" spans="1:6" ht="27.6" x14ac:dyDescent="0.3">
      <c r="A11" s="15" t="s">
        <v>76</v>
      </c>
      <c r="B11" s="6" t="s">
        <v>77</v>
      </c>
      <c r="C11" s="16" t="s">
        <v>78</v>
      </c>
      <c r="D11" s="17" t="s">
        <v>65</v>
      </c>
      <c r="E11" s="18" t="s">
        <v>79</v>
      </c>
      <c r="F11" s="18"/>
    </row>
    <row r="12" spans="1:6" ht="27.6" x14ac:dyDescent="0.3">
      <c r="A12" s="15" t="s">
        <v>80</v>
      </c>
      <c r="B12" s="6" t="s">
        <v>81</v>
      </c>
      <c r="C12" s="16" t="s">
        <v>82</v>
      </c>
      <c r="D12" s="17" t="s">
        <v>83</v>
      </c>
      <c r="E12" s="18" t="s">
        <v>84</v>
      </c>
      <c r="F12" s="18"/>
    </row>
    <row r="13" spans="1:6" ht="27.6" x14ac:dyDescent="0.3">
      <c r="A13" s="15" t="s">
        <v>85</v>
      </c>
      <c r="B13" s="6" t="s">
        <v>86</v>
      </c>
      <c r="C13" s="16" t="s">
        <v>87</v>
      </c>
      <c r="D13" s="17" t="s">
        <v>88</v>
      </c>
      <c r="E13" s="18" t="s">
        <v>89</v>
      </c>
      <c r="F13" s="18"/>
    </row>
    <row r="14" spans="1:6" ht="27.6" x14ac:dyDescent="0.3">
      <c r="A14" s="15" t="s">
        <v>90</v>
      </c>
      <c r="B14" s="6" t="s">
        <v>91</v>
      </c>
      <c r="C14" s="16" t="s">
        <v>92</v>
      </c>
      <c r="D14" s="17" t="s">
        <v>70</v>
      </c>
      <c r="E14" s="18" t="s">
        <v>93</v>
      </c>
      <c r="F14" s="18"/>
    </row>
    <row r="15" spans="1:6" ht="27.6" x14ac:dyDescent="0.3">
      <c r="A15" s="15" t="s">
        <v>94</v>
      </c>
      <c r="B15" s="6" t="s">
        <v>95</v>
      </c>
      <c r="C15" s="16" t="s">
        <v>96</v>
      </c>
      <c r="D15" s="17" t="s">
        <v>97</v>
      </c>
      <c r="E15" s="18" t="s">
        <v>98</v>
      </c>
      <c r="F15" s="18"/>
    </row>
  </sheetData>
  <mergeCells count="13">
    <mergeCell ref="E8:F8"/>
    <mergeCell ref="A1:F1"/>
    <mergeCell ref="A2:F2"/>
    <mergeCell ref="B4:F4"/>
    <mergeCell ref="E6:F6"/>
    <mergeCell ref="E7:F7"/>
    <mergeCell ref="E15:F15"/>
    <mergeCell ref="E9:F9"/>
    <mergeCell ref="E10:F10"/>
    <mergeCell ref="E11:F11"/>
    <mergeCell ref="E12:F12"/>
    <mergeCell ref="E13:F13"/>
    <mergeCell ref="E14:F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A624D-7C32-41F4-8782-04A08946671E}">
  <dimension ref="A1:F13"/>
  <sheetViews>
    <sheetView showGridLines="0" zoomScaleNormal="100" workbookViewId="0">
      <selection activeCell="F8" sqref="F8"/>
    </sheetView>
  </sheetViews>
  <sheetFormatPr defaultColWidth="8.6640625" defaultRowHeight="14.4" x14ac:dyDescent="0.3"/>
  <cols>
    <col min="1" max="1" width="6" customWidth="1"/>
    <col min="2" max="2" width="46" customWidth="1"/>
    <col min="3" max="3" width="34" customWidth="1"/>
    <col min="4" max="4" width="20" customWidth="1"/>
    <col min="5" max="5" width="30" customWidth="1"/>
    <col min="6" max="6" width="14.44140625" bestFit="1" customWidth="1"/>
  </cols>
  <sheetData>
    <row r="1" spans="1:6" ht="30" customHeight="1" x14ac:dyDescent="0.3">
      <c r="A1" s="19" t="s">
        <v>0</v>
      </c>
      <c r="B1" s="19"/>
      <c r="C1" s="19"/>
      <c r="D1" s="19"/>
      <c r="E1" s="19"/>
    </row>
    <row r="2" spans="1:6" ht="25.5" customHeight="1" x14ac:dyDescent="0.3">
      <c r="A2" s="20" t="s">
        <v>1</v>
      </c>
      <c r="B2" s="20"/>
      <c r="C2" s="20"/>
      <c r="D2" s="20"/>
      <c r="E2" s="20"/>
    </row>
    <row r="4" spans="1:6" ht="27.75" customHeight="1" x14ac:dyDescent="0.3">
      <c r="A4" s="1" t="s">
        <v>2</v>
      </c>
      <c r="B4" s="2" t="s">
        <v>3</v>
      </c>
      <c r="C4" s="2" t="s">
        <v>4</v>
      </c>
      <c r="D4" s="1" t="s">
        <v>5</v>
      </c>
      <c r="E4" s="1" t="s">
        <v>6</v>
      </c>
      <c r="F4" s="3" t="s">
        <v>7</v>
      </c>
    </row>
    <row r="5" spans="1:6" ht="69" x14ac:dyDescent="0.3">
      <c r="A5" s="4">
        <v>1</v>
      </c>
      <c r="B5" s="5" t="s">
        <v>8</v>
      </c>
      <c r="C5" s="6" t="s">
        <v>9</v>
      </c>
      <c r="D5" s="29" t="s">
        <v>100</v>
      </c>
      <c r="E5" s="7" t="s">
        <v>104</v>
      </c>
      <c r="F5" s="30" t="s">
        <v>119</v>
      </c>
    </row>
    <row r="6" spans="1:6" ht="69" x14ac:dyDescent="0.3">
      <c r="A6" s="4">
        <v>2</v>
      </c>
      <c r="B6" s="5" t="s">
        <v>10</v>
      </c>
      <c r="C6" s="6" t="s">
        <v>11</v>
      </c>
      <c r="D6" s="29" t="s">
        <v>101</v>
      </c>
      <c r="E6" s="7" t="s">
        <v>105</v>
      </c>
      <c r="F6" s="30" t="s">
        <v>120</v>
      </c>
    </row>
    <row r="7" spans="1:6" ht="45.75" customHeight="1" x14ac:dyDescent="0.3">
      <c r="A7" s="4">
        <v>3</v>
      </c>
      <c r="B7" s="5" t="s">
        <v>12</v>
      </c>
      <c r="C7" s="6" t="s">
        <v>13</v>
      </c>
      <c r="D7" s="29" t="s">
        <v>102</v>
      </c>
      <c r="E7" s="7" t="s">
        <v>99</v>
      </c>
      <c r="F7" s="30" t="s">
        <v>121</v>
      </c>
    </row>
    <row r="8" spans="1:6" ht="69" x14ac:dyDescent="0.3">
      <c r="A8" s="4">
        <v>4</v>
      </c>
      <c r="B8" s="5" t="s">
        <v>14</v>
      </c>
      <c r="C8" s="6" t="s">
        <v>15</v>
      </c>
      <c r="D8" s="29" t="s">
        <v>103</v>
      </c>
      <c r="E8" s="7" t="s">
        <v>106</v>
      </c>
      <c r="F8" s="30" t="s">
        <v>122</v>
      </c>
    </row>
    <row r="9" spans="1:6" ht="82.8" x14ac:dyDescent="0.3">
      <c r="A9" s="4">
        <v>5</v>
      </c>
      <c r="B9" s="5" t="s">
        <v>16</v>
      </c>
      <c r="C9" s="6" t="s">
        <v>17</v>
      </c>
      <c r="D9" s="29" t="s">
        <v>108</v>
      </c>
      <c r="E9" s="7" t="s">
        <v>118</v>
      </c>
      <c r="F9" s="30" t="s">
        <v>123</v>
      </c>
    </row>
    <row r="10" spans="1:6" ht="82.8" x14ac:dyDescent="0.3">
      <c r="A10" s="4">
        <v>6</v>
      </c>
      <c r="B10" s="5" t="s">
        <v>18</v>
      </c>
      <c r="C10" s="6" t="s">
        <v>19</v>
      </c>
      <c r="D10" s="29" t="s">
        <v>107</v>
      </c>
      <c r="E10" s="7" t="s">
        <v>109</v>
      </c>
      <c r="F10" s="30" t="s">
        <v>124</v>
      </c>
    </row>
    <row r="11" spans="1:6" ht="110.4" x14ac:dyDescent="0.3">
      <c r="A11" s="4">
        <v>7</v>
      </c>
      <c r="B11" s="5" t="s">
        <v>20</v>
      </c>
      <c r="C11" s="6" t="s">
        <v>21</v>
      </c>
      <c r="D11" s="7" t="s">
        <v>110</v>
      </c>
      <c r="E11" s="7" t="s">
        <v>111</v>
      </c>
      <c r="F11" s="30" t="s">
        <v>125</v>
      </c>
    </row>
    <row r="12" spans="1:6" ht="110.4" x14ac:dyDescent="0.3">
      <c r="A12" s="4">
        <v>8</v>
      </c>
      <c r="B12" s="5" t="s">
        <v>22</v>
      </c>
      <c r="C12" s="6" t="s">
        <v>23</v>
      </c>
      <c r="D12" s="7" t="s">
        <v>112</v>
      </c>
      <c r="E12" s="7" t="s">
        <v>130</v>
      </c>
      <c r="F12" s="30" t="s">
        <v>126</v>
      </c>
    </row>
    <row r="13" spans="1:6" ht="124.2" x14ac:dyDescent="0.3">
      <c r="A13" s="4">
        <v>9</v>
      </c>
      <c r="B13" s="5" t="s">
        <v>24</v>
      </c>
      <c r="C13" s="6" t="s">
        <v>25</v>
      </c>
      <c r="D13" s="7" t="s">
        <v>113</v>
      </c>
      <c r="E13" s="7" t="s">
        <v>131</v>
      </c>
      <c r="F13" s="30" t="s">
        <v>127</v>
      </c>
    </row>
  </sheetData>
  <mergeCells count="2">
    <mergeCell ref="A1:E1"/>
    <mergeCell ref="A2:E2"/>
  </mergeCells>
  <hyperlinks>
    <hyperlink ref="D5" location="Bieudo_Cau1" display="Biểu đồ đường( Line)" xr:uid="{E3CA9051-01F1-4597-8B75-B774F5691969}"/>
    <hyperlink ref="D6" location="'Câu hỏi 2'!A1" display="Biểu đồ cột( Column)" xr:uid="{0B0DCB5B-BD97-475F-B7DB-9000E5BFAF67}"/>
    <hyperlink ref="D7" location="'Câu hỏi 3'!A1" display="Biểu đồ tròn(Pie)" xr:uid="{EE454E90-5A7B-47D3-92C9-232E7FC3D2E0}"/>
    <hyperlink ref="D8" location="'Câu hỏi 4'!A1" display="Biểu đồ cột chồng(Stacked)" xr:uid="{A5FF80CF-7B3A-4F90-B310-A24C525682C0}"/>
    <hyperlink ref="D10" location="Bieudo_Cau6" display="Biểu đồ phân bố tần suất (Histogram)" xr:uid="{B64A1955-601C-446A-B174-EF7956677C66}"/>
    <hyperlink ref="D9" location="Bieudo_Cau5" display="Biểu đồ phân tán(Scatter)" xr:uid="{2FD5605F-94D0-4F74-A5D9-7F56366ACE89}"/>
    <hyperlink ref="F5" location="'Câu hỏi 1'!A1" display="Biểu đồ câu 1" xr:uid="{ACD50870-056E-4EA2-9A63-6BA5341B317B}"/>
    <hyperlink ref="F6" location="'Câu hỏi 2'!A1" display="Biểu đồ câu 2" xr:uid="{B339EE8E-A227-4335-8DD4-63555E88DE72}"/>
    <hyperlink ref="F7" location="'Câu hỏi 3'!A1" display="Biểu đồ câu 3" xr:uid="{7BE5E513-A764-476F-96C8-E4E7893CE6A1}"/>
    <hyperlink ref="F8" location="'Câu hỏi 4'!A1" display="Biểu đồ câu 4" xr:uid="{2E196496-2399-4E71-84BC-71A18D80EE55}"/>
    <hyperlink ref="F9" location="Bieudo_Cau5" display="Biểu đồ câu 5" xr:uid="{3DCC56CB-7126-4991-AC62-55B6A8AA36DE}"/>
    <hyperlink ref="F10" location="Bieudo_Cau6" display="Biểu đồ câu 6" xr:uid="{1EAAC918-953B-4C3E-BBB1-5108964D11CF}"/>
    <hyperlink ref="F11" location="'Câu hỏi 7'!A1" display="Biểu đồ câu 7 " xr:uid="{16079A76-45A9-4026-B42E-C1EC7E78AC90}"/>
    <hyperlink ref="F12" location="'Câu hỏi 8'!A1" display="Biểu đồ câu 8" xr:uid="{EFDE9062-B44F-4E76-B6DC-77D47575569D}"/>
    <hyperlink ref="F13" location="Sheet11!A1" display="Biểu đồ câu 9" xr:uid="{1AB915BA-0914-491F-8885-A851781D315B}"/>
  </hyperlink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523C5-48D4-4F9A-AC77-0701F99C1AD9}">
  <dimension ref="A3:B24"/>
  <sheetViews>
    <sheetView workbookViewId="0">
      <selection activeCell="B28" sqref="B28"/>
    </sheetView>
  </sheetViews>
  <sheetFormatPr defaultRowHeight="14.4" x14ac:dyDescent="0.3"/>
  <cols>
    <col min="1" max="1" width="13.33203125" bestFit="1" customWidth="1"/>
    <col min="2" max="2" width="21.44140625" bestFit="1" customWidth="1"/>
  </cols>
  <sheetData>
    <row r="3" spans="1:2" x14ac:dyDescent="0.3">
      <c r="A3" s="24" t="s">
        <v>114</v>
      </c>
      <c r="B3" t="s">
        <v>129</v>
      </c>
    </row>
    <row r="4" spans="1:2" x14ac:dyDescent="0.3">
      <c r="A4" s="25" t="s">
        <v>44</v>
      </c>
      <c r="B4" s="23">
        <v>528</v>
      </c>
    </row>
    <row r="5" spans="1:2" x14ac:dyDescent="0.3">
      <c r="A5" s="31" t="s">
        <v>39</v>
      </c>
      <c r="B5" s="23">
        <v>52</v>
      </c>
    </row>
    <row r="6" spans="1:2" x14ac:dyDescent="0.3">
      <c r="A6" s="31" t="s">
        <v>41</v>
      </c>
      <c r="B6" s="23">
        <v>99</v>
      </c>
    </row>
    <row r="7" spans="1:2" x14ac:dyDescent="0.3">
      <c r="A7" s="31" t="s">
        <v>38</v>
      </c>
      <c r="B7" s="23">
        <v>114</v>
      </c>
    </row>
    <row r="8" spans="1:2" x14ac:dyDescent="0.3">
      <c r="A8" s="31" t="s">
        <v>40</v>
      </c>
      <c r="B8" s="23">
        <v>263</v>
      </c>
    </row>
    <row r="9" spans="1:2" x14ac:dyDescent="0.3">
      <c r="A9" s="25" t="s">
        <v>43</v>
      </c>
      <c r="B9" s="23">
        <v>703</v>
      </c>
    </row>
    <row r="10" spans="1:2" x14ac:dyDescent="0.3">
      <c r="A10" s="31" t="s">
        <v>39</v>
      </c>
      <c r="B10" s="23">
        <v>76</v>
      </c>
    </row>
    <row r="11" spans="1:2" x14ac:dyDescent="0.3">
      <c r="A11" s="31" t="s">
        <v>41</v>
      </c>
      <c r="B11" s="23">
        <v>129</v>
      </c>
    </row>
    <row r="12" spans="1:2" x14ac:dyDescent="0.3">
      <c r="A12" s="31" t="s">
        <v>38</v>
      </c>
      <c r="B12" s="23">
        <v>166</v>
      </c>
    </row>
    <row r="13" spans="1:2" x14ac:dyDescent="0.3">
      <c r="A13" s="31" t="s">
        <v>40</v>
      </c>
      <c r="B13" s="23">
        <v>332</v>
      </c>
    </row>
    <row r="14" spans="1:2" x14ac:dyDescent="0.3">
      <c r="A14" s="25" t="s">
        <v>42</v>
      </c>
      <c r="B14" s="23">
        <v>1101</v>
      </c>
    </row>
    <row r="15" spans="1:2" x14ac:dyDescent="0.3">
      <c r="A15" s="31" t="s">
        <v>39</v>
      </c>
      <c r="B15" s="23">
        <v>115</v>
      </c>
    </row>
    <row r="16" spans="1:2" x14ac:dyDescent="0.3">
      <c r="A16" s="31" t="s">
        <v>41</v>
      </c>
      <c r="B16" s="23">
        <v>219</v>
      </c>
    </row>
    <row r="17" spans="1:2" x14ac:dyDescent="0.3">
      <c r="A17" s="31" t="s">
        <v>38</v>
      </c>
      <c r="B17" s="23">
        <v>243</v>
      </c>
    </row>
    <row r="18" spans="1:2" x14ac:dyDescent="0.3">
      <c r="A18" s="31" t="s">
        <v>40</v>
      </c>
      <c r="B18" s="23">
        <v>524</v>
      </c>
    </row>
    <row r="19" spans="1:2" x14ac:dyDescent="0.3">
      <c r="A19" s="25" t="s">
        <v>37</v>
      </c>
      <c r="B19" s="23">
        <v>1322</v>
      </c>
    </row>
    <row r="20" spans="1:2" x14ac:dyDescent="0.3">
      <c r="A20" s="31" t="s">
        <v>39</v>
      </c>
      <c r="B20" s="23">
        <v>136</v>
      </c>
    </row>
    <row r="21" spans="1:2" x14ac:dyDescent="0.3">
      <c r="A21" s="31" t="s">
        <v>41</v>
      </c>
      <c r="B21" s="23">
        <v>234</v>
      </c>
    </row>
    <row r="22" spans="1:2" x14ac:dyDescent="0.3">
      <c r="A22" s="31" t="s">
        <v>38</v>
      </c>
      <c r="B22" s="23">
        <v>306</v>
      </c>
    </row>
    <row r="23" spans="1:2" x14ac:dyDescent="0.3">
      <c r="A23" s="31" t="s">
        <v>40</v>
      </c>
      <c r="B23" s="23">
        <v>646</v>
      </c>
    </row>
    <row r="24" spans="1:2" x14ac:dyDescent="0.3">
      <c r="A24" s="25" t="s">
        <v>115</v>
      </c>
      <c r="B24" s="23">
        <v>3654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F8359-0A0A-47BF-BC6C-E2DD1DDB37D3}">
  <dimension ref="A3:B16"/>
  <sheetViews>
    <sheetView topLeftCell="A4" workbookViewId="0">
      <selection activeCell="O17" sqref="O17"/>
    </sheetView>
  </sheetViews>
  <sheetFormatPr defaultRowHeight="14.4" x14ac:dyDescent="0.3"/>
  <cols>
    <col min="1" max="1" width="12.5546875" bestFit="1" customWidth="1"/>
    <col min="2" max="2" width="18.33203125" bestFit="1" customWidth="1"/>
  </cols>
  <sheetData>
    <row r="3" spans="1:2" x14ac:dyDescent="0.3">
      <c r="A3" s="24" t="s">
        <v>114</v>
      </c>
      <c r="B3" t="s">
        <v>128</v>
      </c>
    </row>
    <row r="4" spans="1:2" x14ac:dyDescent="0.3">
      <c r="A4" s="25">
        <v>1</v>
      </c>
      <c r="B4" s="23">
        <v>1070</v>
      </c>
    </row>
    <row r="5" spans="1:2" x14ac:dyDescent="0.3">
      <c r="A5" s="25">
        <v>2</v>
      </c>
      <c r="B5" s="23">
        <v>2003</v>
      </c>
    </row>
    <row r="6" spans="1:2" x14ac:dyDescent="0.3">
      <c r="A6" s="25">
        <v>3</v>
      </c>
      <c r="B6" s="23">
        <v>2789</v>
      </c>
    </row>
    <row r="7" spans="1:2" x14ac:dyDescent="0.3">
      <c r="A7" s="25">
        <v>4</v>
      </c>
      <c r="B7" s="23">
        <v>3581</v>
      </c>
    </row>
    <row r="8" spans="1:2" x14ac:dyDescent="0.3">
      <c r="A8" s="25">
        <v>5</v>
      </c>
      <c r="B8" s="23">
        <v>4378</v>
      </c>
    </row>
    <row r="9" spans="1:2" x14ac:dyDescent="0.3">
      <c r="A9" s="25">
        <v>6</v>
      </c>
      <c r="B9" s="23">
        <v>5270</v>
      </c>
    </row>
    <row r="10" spans="1:2" x14ac:dyDescent="0.3">
      <c r="A10" s="25">
        <v>7</v>
      </c>
      <c r="B10" s="23">
        <v>6158</v>
      </c>
    </row>
    <row r="11" spans="1:2" x14ac:dyDescent="0.3">
      <c r="A11" s="25">
        <v>8</v>
      </c>
      <c r="B11" s="23">
        <v>7051</v>
      </c>
    </row>
    <row r="12" spans="1:2" x14ac:dyDescent="0.3">
      <c r="A12" s="25">
        <v>9</v>
      </c>
      <c r="B12" s="23">
        <v>8038</v>
      </c>
    </row>
    <row r="13" spans="1:2" x14ac:dyDescent="0.3">
      <c r="A13" s="25">
        <v>10</v>
      </c>
      <c r="B13" s="23">
        <v>9044</v>
      </c>
    </row>
    <row r="14" spans="1:2" x14ac:dyDescent="0.3">
      <c r="A14" s="25">
        <v>11</v>
      </c>
      <c r="B14" s="23">
        <v>10201</v>
      </c>
    </row>
    <row r="15" spans="1:2" x14ac:dyDescent="0.3">
      <c r="A15" s="25">
        <v>12</v>
      </c>
      <c r="B15" s="23">
        <v>11480</v>
      </c>
    </row>
    <row r="16" spans="1:2" x14ac:dyDescent="0.3">
      <c r="A16" s="25" t="s">
        <v>115</v>
      </c>
      <c r="B16" s="23"/>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5BAAC-2732-46D8-BD3E-7CDCF003AF9B}">
  <dimension ref="A1:H196"/>
  <sheetViews>
    <sheetView topLeftCell="A4" workbookViewId="0">
      <selection activeCell="A4" sqref="A4:H196"/>
    </sheetView>
  </sheetViews>
  <sheetFormatPr defaultColWidth="8.6640625" defaultRowHeight="14.4" x14ac:dyDescent="0.3"/>
  <cols>
    <col min="1" max="2" width="9" customWidth="1"/>
    <col min="3" max="3" width="13" customWidth="1"/>
    <col min="4" max="4" width="14" customWidth="1"/>
    <col min="5" max="5" width="13" customWidth="1"/>
    <col min="6" max="7" width="17" customWidth="1"/>
    <col min="8" max="8" width="15" customWidth="1"/>
  </cols>
  <sheetData>
    <row r="1" spans="1:8" ht="30" customHeight="1" x14ac:dyDescent="0.3">
      <c r="A1" s="19" t="s">
        <v>26</v>
      </c>
      <c r="B1" s="19"/>
      <c r="C1" s="19"/>
      <c r="D1" s="19"/>
      <c r="E1" s="19"/>
      <c r="F1" s="19"/>
      <c r="G1" s="19"/>
      <c r="H1" s="19"/>
    </row>
    <row r="2" spans="1:8" ht="25.5" customHeight="1" x14ac:dyDescent="0.3">
      <c r="A2" s="20" t="s">
        <v>27</v>
      </c>
      <c r="B2" s="20"/>
      <c r="C2" s="20"/>
      <c r="D2" s="20"/>
      <c r="E2" s="20"/>
      <c r="F2" s="20"/>
      <c r="G2" s="20"/>
      <c r="H2" s="20"/>
    </row>
    <row r="4" spans="1:8" ht="30" customHeight="1" x14ac:dyDescent="0.3">
      <c r="A4" s="1" t="s">
        <v>28</v>
      </c>
      <c r="B4" s="1" t="s">
        <v>29</v>
      </c>
      <c r="C4" s="1" t="s">
        <v>30</v>
      </c>
      <c r="D4" s="1" t="s">
        <v>31</v>
      </c>
      <c r="E4" s="1" t="s">
        <v>32</v>
      </c>
      <c r="F4" s="1" t="s">
        <v>33</v>
      </c>
      <c r="G4" s="1" t="s">
        <v>34</v>
      </c>
      <c r="H4" s="1" t="s">
        <v>35</v>
      </c>
    </row>
    <row r="5" spans="1:8" x14ac:dyDescent="0.3">
      <c r="A5" s="8">
        <v>1</v>
      </c>
      <c r="B5" s="8" t="s">
        <v>36</v>
      </c>
      <c r="C5" s="9" t="s">
        <v>37</v>
      </c>
      <c r="D5" s="9" t="s">
        <v>38</v>
      </c>
      <c r="E5" s="10">
        <v>86</v>
      </c>
      <c r="F5" s="11">
        <v>1074.8</v>
      </c>
      <c r="G5" s="11">
        <v>64.5</v>
      </c>
      <c r="H5" s="10">
        <v>24</v>
      </c>
    </row>
    <row r="6" spans="1:8" x14ac:dyDescent="0.3">
      <c r="A6" s="12">
        <v>1</v>
      </c>
      <c r="B6" s="12" t="s">
        <v>36</v>
      </c>
      <c r="C6" s="5" t="s">
        <v>37</v>
      </c>
      <c r="D6" s="5" t="s">
        <v>39</v>
      </c>
      <c r="E6" s="13">
        <v>44</v>
      </c>
      <c r="F6" s="14">
        <v>893</v>
      </c>
      <c r="G6" s="14">
        <v>56.4</v>
      </c>
      <c r="H6" s="13">
        <v>12</v>
      </c>
    </row>
    <row r="7" spans="1:8" x14ac:dyDescent="0.3">
      <c r="A7" s="8">
        <v>1</v>
      </c>
      <c r="B7" s="8" t="s">
        <v>36</v>
      </c>
      <c r="C7" s="9" t="s">
        <v>37</v>
      </c>
      <c r="D7" s="9" t="s">
        <v>40</v>
      </c>
      <c r="E7" s="10">
        <v>177</v>
      </c>
      <c r="F7" s="11">
        <v>280.60000000000002</v>
      </c>
      <c r="G7" s="11">
        <v>24.1</v>
      </c>
      <c r="H7" s="10">
        <v>58</v>
      </c>
    </row>
    <row r="8" spans="1:8" x14ac:dyDescent="0.3">
      <c r="A8" s="12">
        <v>1</v>
      </c>
      <c r="B8" s="12" t="s">
        <v>36</v>
      </c>
      <c r="C8" s="5" t="s">
        <v>37</v>
      </c>
      <c r="D8" s="5" t="s">
        <v>41</v>
      </c>
      <c r="E8" s="13">
        <v>65</v>
      </c>
      <c r="F8" s="14">
        <v>380.3</v>
      </c>
      <c r="G8" s="14">
        <v>31.1</v>
      </c>
      <c r="H8" s="13">
        <v>22</v>
      </c>
    </row>
    <row r="9" spans="1:8" x14ac:dyDescent="0.3">
      <c r="A9" s="8">
        <v>1</v>
      </c>
      <c r="B9" s="8" t="s">
        <v>36</v>
      </c>
      <c r="C9" s="9" t="s">
        <v>42</v>
      </c>
      <c r="D9" s="9" t="s">
        <v>38</v>
      </c>
      <c r="E9" s="10">
        <v>73</v>
      </c>
      <c r="F9" s="11">
        <v>824.7</v>
      </c>
      <c r="G9" s="11">
        <v>59.3</v>
      </c>
      <c r="H9" s="10">
        <v>18</v>
      </c>
    </row>
    <row r="10" spans="1:8" x14ac:dyDescent="0.3">
      <c r="A10" s="12">
        <v>1</v>
      </c>
      <c r="B10" s="12" t="s">
        <v>36</v>
      </c>
      <c r="C10" s="5" t="s">
        <v>42</v>
      </c>
      <c r="D10" s="5" t="s">
        <v>39</v>
      </c>
      <c r="E10" s="13">
        <v>34</v>
      </c>
      <c r="F10" s="14">
        <v>771</v>
      </c>
      <c r="G10" s="14">
        <v>49</v>
      </c>
      <c r="H10" s="13">
        <v>9</v>
      </c>
    </row>
    <row r="11" spans="1:8" x14ac:dyDescent="0.3">
      <c r="A11" s="8">
        <v>1</v>
      </c>
      <c r="B11" s="8" t="s">
        <v>36</v>
      </c>
      <c r="C11" s="9" t="s">
        <v>42</v>
      </c>
      <c r="D11" s="9" t="s">
        <v>40</v>
      </c>
      <c r="E11" s="10">
        <v>165</v>
      </c>
      <c r="F11" s="11">
        <v>269.8</v>
      </c>
      <c r="G11" s="11">
        <v>25.7</v>
      </c>
      <c r="H11" s="10">
        <v>44</v>
      </c>
    </row>
    <row r="12" spans="1:8" x14ac:dyDescent="0.3">
      <c r="A12" s="12">
        <v>1</v>
      </c>
      <c r="B12" s="12" t="s">
        <v>36</v>
      </c>
      <c r="C12" s="5" t="s">
        <v>42</v>
      </c>
      <c r="D12" s="5" t="s">
        <v>41</v>
      </c>
      <c r="E12" s="13">
        <v>70</v>
      </c>
      <c r="F12" s="14">
        <v>395.1</v>
      </c>
      <c r="G12" s="14">
        <v>36.700000000000003</v>
      </c>
      <c r="H12" s="13">
        <v>25</v>
      </c>
    </row>
    <row r="13" spans="1:8" x14ac:dyDescent="0.3">
      <c r="A13" s="8">
        <v>1</v>
      </c>
      <c r="B13" s="8" t="s">
        <v>36</v>
      </c>
      <c r="C13" s="9" t="s">
        <v>43</v>
      </c>
      <c r="D13" s="9" t="s">
        <v>38</v>
      </c>
      <c r="E13" s="10">
        <v>47</v>
      </c>
      <c r="F13" s="11">
        <v>577</v>
      </c>
      <c r="G13" s="11">
        <v>46.1</v>
      </c>
      <c r="H13" s="10">
        <v>16</v>
      </c>
    </row>
    <row r="14" spans="1:8" x14ac:dyDescent="0.3">
      <c r="A14" s="12">
        <v>1</v>
      </c>
      <c r="B14" s="12" t="s">
        <v>36</v>
      </c>
      <c r="C14" s="5" t="s">
        <v>43</v>
      </c>
      <c r="D14" s="5" t="s">
        <v>39</v>
      </c>
      <c r="E14" s="13">
        <v>24</v>
      </c>
      <c r="F14" s="14">
        <v>501.5</v>
      </c>
      <c r="G14" s="14">
        <v>31.2</v>
      </c>
      <c r="H14" s="13">
        <v>8</v>
      </c>
    </row>
    <row r="15" spans="1:8" x14ac:dyDescent="0.3">
      <c r="A15" s="8">
        <v>1</v>
      </c>
      <c r="B15" s="8" t="s">
        <v>36</v>
      </c>
      <c r="C15" s="9" t="s">
        <v>43</v>
      </c>
      <c r="D15" s="9" t="s">
        <v>40</v>
      </c>
      <c r="E15" s="10">
        <v>104</v>
      </c>
      <c r="F15" s="11">
        <v>165</v>
      </c>
      <c r="G15" s="11">
        <v>14.3</v>
      </c>
      <c r="H15" s="10">
        <v>31</v>
      </c>
    </row>
    <row r="16" spans="1:8" x14ac:dyDescent="0.3">
      <c r="A16" s="12">
        <v>1</v>
      </c>
      <c r="B16" s="12" t="s">
        <v>36</v>
      </c>
      <c r="C16" s="5" t="s">
        <v>43</v>
      </c>
      <c r="D16" s="5" t="s">
        <v>41</v>
      </c>
      <c r="E16" s="13">
        <v>33</v>
      </c>
      <c r="F16" s="14">
        <v>212.2</v>
      </c>
      <c r="G16" s="14">
        <v>17.600000000000001</v>
      </c>
      <c r="H16" s="13">
        <v>10</v>
      </c>
    </row>
    <row r="17" spans="1:8" x14ac:dyDescent="0.3">
      <c r="A17" s="8">
        <v>1</v>
      </c>
      <c r="B17" s="8" t="s">
        <v>36</v>
      </c>
      <c r="C17" s="9" t="s">
        <v>44</v>
      </c>
      <c r="D17" s="9" t="s">
        <v>38</v>
      </c>
      <c r="E17" s="10">
        <v>35</v>
      </c>
      <c r="F17" s="11">
        <v>429.5</v>
      </c>
      <c r="G17" s="11">
        <v>28.8</v>
      </c>
      <c r="H17" s="10">
        <v>10</v>
      </c>
    </row>
    <row r="18" spans="1:8" x14ac:dyDescent="0.3">
      <c r="A18" s="12">
        <v>1</v>
      </c>
      <c r="B18" s="12" t="s">
        <v>36</v>
      </c>
      <c r="C18" s="5" t="s">
        <v>44</v>
      </c>
      <c r="D18" s="5" t="s">
        <v>39</v>
      </c>
      <c r="E18" s="13">
        <v>15</v>
      </c>
      <c r="F18" s="14">
        <v>319.10000000000002</v>
      </c>
      <c r="G18" s="14">
        <v>21.7</v>
      </c>
      <c r="H18" s="13">
        <v>5</v>
      </c>
    </row>
    <row r="19" spans="1:8" x14ac:dyDescent="0.3">
      <c r="A19" s="8">
        <v>1</v>
      </c>
      <c r="B19" s="8" t="s">
        <v>36</v>
      </c>
      <c r="C19" s="9" t="s">
        <v>44</v>
      </c>
      <c r="D19" s="9" t="s">
        <v>40</v>
      </c>
      <c r="E19" s="10">
        <v>66</v>
      </c>
      <c r="F19" s="11">
        <v>105.4</v>
      </c>
      <c r="G19" s="11">
        <v>11.3</v>
      </c>
      <c r="H19" s="10">
        <v>20</v>
      </c>
    </row>
    <row r="20" spans="1:8" x14ac:dyDescent="0.3">
      <c r="A20" s="12">
        <v>1</v>
      </c>
      <c r="B20" s="12" t="s">
        <v>36</v>
      </c>
      <c r="C20" s="5" t="s">
        <v>44</v>
      </c>
      <c r="D20" s="5" t="s">
        <v>41</v>
      </c>
      <c r="E20" s="13">
        <v>32</v>
      </c>
      <c r="F20" s="14">
        <v>191.8</v>
      </c>
      <c r="G20" s="14">
        <v>18</v>
      </c>
      <c r="H20" s="13">
        <v>11</v>
      </c>
    </row>
    <row r="21" spans="1:8" x14ac:dyDescent="0.3">
      <c r="A21" s="8">
        <v>2</v>
      </c>
      <c r="B21" s="8" t="s">
        <v>36</v>
      </c>
      <c r="C21" s="9" t="s">
        <v>37</v>
      </c>
      <c r="D21" s="9" t="s">
        <v>38</v>
      </c>
      <c r="E21" s="10">
        <v>76</v>
      </c>
      <c r="F21" s="11">
        <v>963.8</v>
      </c>
      <c r="G21" s="11">
        <v>73.099999999999994</v>
      </c>
      <c r="H21" s="10">
        <v>19</v>
      </c>
    </row>
    <row r="22" spans="1:8" x14ac:dyDescent="0.3">
      <c r="A22" s="12">
        <v>2</v>
      </c>
      <c r="B22" s="12" t="s">
        <v>36</v>
      </c>
      <c r="C22" s="5" t="s">
        <v>37</v>
      </c>
      <c r="D22" s="5" t="s">
        <v>39</v>
      </c>
      <c r="E22" s="13">
        <v>30</v>
      </c>
      <c r="F22" s="14">
        <v>691.5</v>
      </c>
      <c r="G22" s="14">
        <v>38.6</v>
      </c>
      <c r="H22" s="13">
        <v>12</v>
      </c>
    </row>
    <row r="23" spans="1:8" x14ac:dyDescent="0.3">
      <c r="A23" s="8">
        <v>2</v>
      </c>
      <c r="B23" s="8" t="s">
        <v>36</v>
      </c>
      <c r="C23" s="9" t="s">
        <v>37</v>
      </c>
      <c r="D23" s="9" t="s">
        <v>40</v>
      </c>
      <c r="E23" s="10">
        <v>184</v>
      </c>
      <c r="F23" s="11">
        <v>267</v>
      </c>
      <c r="G23" s="11">
        <v>25.2</v>
      </c>
      <c r="H23" s="10">
        <v>57</v>
      </c>
    </row>
    <row r="24" spans="1:8" x14ac:dyDescent="0.3">
      <c r="A24" s="12">
        <v>2</v>
      </c>
      <c r="B24" s="12" t="s">
        <v>36</v>
      </c>
      <c r="C24" s="5" t="s">
        <v>37</v>
      </c>
      <c r="D24" s="5" t="s">
        <v>41</v>
      </c>
      <c r="E24" s="13">
        <v>64</v>
      </c>
      <c r="F24" s="14">
        <v>403.9</v>
      </c>
      <c r="G24" s="14">
        <v>35.9</v>
      </c>
      <c r="H24" s="13">
        <v>18</v>
      </c>
    </row>
    <row r="25" spans="1:8" x14ac:dyDescent="0.3">
      <c r="A25" s="8">
        <v>2</v>
      </c>
      <c r="B25" s="8" t="s">
        <v>36</v>
      </c>
      <c r="C25" s="9" t="s">
        <v>42</v>
      </c>
      <c r="D25" s="9" t="s">
        <v>38</v>
      </c>
      <c r="E25" s="10">
        <v>65</v>
      </c>
      <c r="F25" s="11">
        <v>768.1</v>
      </c>
      <c r="G25" s="11">
        <v>49.9</v>
      </c>
      <c r="H25" s="10">
        <v>25</v>
      </c>
    </row>
    <row r="26" spans="1:8" x14ac:dyDescent="0.3">
      <c r="A26" s="12">
        <v>2</v>
      </c>
      <c r="B26" s="12" t="s">
        <v>36</v>
      </c>
      <c r="C26" s="5" t="s">
        <v>42</v>
      </c>
      <c r="D26" s="5" t="s">
        <v>39</v>
      </c>
      <c r="E26" s="13">
        <v>30</v>
      </c>
      <c r="F26" s="14">
        <v>600.20000000000005</v>
      </c>
      <c r="G26" s="14">
        <v>33</v>
      </c>
      <c r="H26" s="13">
        <v>10</v>
      </c>
    </row>
    <row r="27" spans="1:8" x14ac:dyDescent="0.3">
      <c r="A27" s="8">
        <v>2</v>
      </c>
      <c r="B27" s="8" t="s">
        <v>36</v>
      </c>
      <c r="C27" s="9" t="s">
        <v>42</v>
      </c>
      <c r="D27" s="9" t="s">
        <v>40</v>
      </c>
      <c r="E27" s="10">
        <v>115</v>
      </c>
      <c r="F27" s="11">
        <v>187.7</v>
      </c>
      <c r="G27" s="11">
        <v>16.2</v>
      </c>
      <c r="H27" s="10">
        <v>40</v>
      </c>
    </row>
    <row r="28" spans="1:8" x14ac:dyDescent="0.3">
      <c r="A28" s="12">
        <v>2</v>
      </c>
      <c r="B28" s="12" t="s">
        <v>36</v>
      </c>
      <c r="C28" s="5" t="s">
        <v>42</v>
      </c>
      <c r="D28" s="5" t="s">
        <v>41</v>
      </c>
      <c r="E28" s="13">
        <v>51</v>
      </c>
      <c r="F28" s="14">
        <v>334.1</v>
      </c>
      <c r="G28" s="14">
        <v>29.4</v>
      </c>
      <c r="H28" s="13">
        <v>16</v>
      </c>
    </row>
    <row r="29" spans="1:8" x14ac:dyDescent="0.3">
      <c r="A29" s="8">
        <v>2</v>
      </c>
      <c r="B29" s="8" t="s">
        <v>36</v>
      </c>
      <c r="C29" s="9" t="s">
        <v>43</v>
      </c>
      <c r="D29" s="9" t="s">
        <v>38</v>
      </c>
      <c r="E29" s="10">
        <v>50</v>
      </c>
      <c r="F29" s="11">
        <v>548.1</v>
      </c>
      <c r="G29" s="11">
        <v>38.700000000000003</v>
      </c>
      <c r="H29" s="10">
        <v>19</v>
      </c>
    </row>
    <row r="30" spans="1:8" x14ac:dyDescent="0.3">
      <c r="A30" s="12">
        <v>2</v>
      </c>
      <c r="B30" s="12" t="s">
        <v>36</v>
      </c>
      <c r="C30" s="5" t="s">
        <v>43</v>
      </c>
      <c r="D30" s="5" t="s">
        <v>39</v>
      </c>
      <c r="E30" s="13">
        <v>17</v>
      </c>
      <c r="F30" s="14">
        <v>351.3</v>
      </c>
      <c r="G30" s="14">
        <v>22.5</v>
      </c>
      <c r="H30" s="13">
        <v>6</v>
      </c>
    </row>
    <row r="31" spans="1:8" x14ac:dyDescent="0.3">
      <c r="A31" s="8">
        <v>2</v>
      </c>
      <c r="B31" s="8" t="s">
        <v>36</v>
      </c>
      <c r="C31" s="9" t="s">
        <v>43</v>
      </c>
      <c r="D31" s="9" t="s">
        <v>40</v>
      </c>
      <c r="E31" s="10">
        <v>78</v>
      </c>
      <c r="F31" s="11">
        <v>127.2</v>
      </c>
      <c r="G31" s="11">
        <v>13.3</v>
      </c>
      <c r="H31" s="10">
        <v>25</v>
      </c>
    </row>
    <row r="32" spans="1:8" x14ac:dyDescent="0.3">
      <c r="A32" s="12">
        <v>2</v>
      </c>
      <c r="B32" s="12" t="s">
        <v>36</v>
      </c>
      <c r="C32" s="5" t="s">
        <v>43</v>
      </c>
      <c r="D32" s="5" t="s">
        <v>41</v>
      </c>
      <c r="E32" s="13">
        <v>36</v>
      </c>
      <c r="F32" s="14">
        <v>199.8</v>
      </c>
      <c r="G32" s="14">
        <v>20.399999999999999</v>
      </c>
      <c r="H32" s="13">
        <v>10</v>
      </c>
    </row>
    <row r="33" spans="1:8" x14ac:dyDescent="0.3">
      <c r="A33" s="8">
        <v>2</v>
      </c>
      <c r="B33" s="8" t="s">
        <v>36</v>
      </c>
      <c r="C33" s="9" t="s">
        <v>44</v>
      </c>
      <c r="D33" s="9" t="s">
        <v>38</v>
      </c>
      <c r="E33" s="10">
        <v>32</v>
      </c>
      <c r="F33" s="11">
        <v>356.3</v>
      </c>
      <c r="G33" s="11">
        <v>22.5</v>
      </c>
      <c r="H33" s="10">
        <v>12</v>
      </c>
    </row>
    <row r="34" spans="1:8" x14ac:dyDescent="0.3">
      <c r="A34" s="12">
        <v>2</v>
      </c>
      <c r="B34" s="12" t="s">
        <v>36</v>
      </c>
      <c r="C34" s="5" t="s">
        <v>44</v>
      </c>
      <c r="D34" s="5" t="s">
        <v>39</v>
      </c>
      <c r="E34" s="13">
        <v>13</v>
      </c>
      <c r="F34" s="14">
        <v>275.39999999999998</v>
      </c>
      <c r="G34" s="14">
        <v>17.2</v>
      </c>
      <c r="H34" s="13">
        <v>4</v>
      </c>
    </row>
    <row r="35" spans="1:8" x14ac:dyDescent="0.3">
      <c r="A35" s="8">
        <v>2</v>
      </c>
      <c r="B35" s="8" t="s">
        <v>36</v>
      </c>
      <c r="C35" s="9" t="s">
        <v>44</v>
      </c>
      <c r="D35" s="9" t="s">
        <v>40</v>
      </c>
      <c r="E35" s="10">
        <v>73</v>
      </c>
      <c r="F35" s="11">
        <v>104.1</v>
      </c>
      <c r="G35" s="11">
        <v>10.5</v>
      </c>
      <c r="H35" s="10">
        <v>24</v>
      </c>
    </row>
    <row r="36" spans="1:8" x14ac:dyDescent="0.3">
      <c r="A36" s="12">
        <v>2</v>
      </c>
      <c r="B36" s="12" t="s">
        <v>36</v>
      </c>
      <c r="C36" s="5" t="s">
        <v>44</v>
      </c>
      <c r="D36" s="5" t="s">
        <v>41</v>
      </c>
      <c r="E36" s="13">
        <v>19</v>
      </c>
      <c r="F36" s="14">
        <v>129.30000000000001</v>
      </c>
      <c r="G36" s="14">
        <v>11</v>
      </c>
      <c r="H36" s="13">
        <v>7</v>
      </c>
    </row>
    <row r="37" spans="1:8" x14ac:dyDescent="0.3">
      <c r="A37" s="8">
        <v>3</v>
      </c>
      <c r="B37" s="8" t="s">
        <v>36</v>
      </c>
      <c r="C37" s="9" t="s">
        <v>37</v>
      </c>
      <c r="D37" s="9" t="s">
        <v>38</v>
      </c>
      <c r="E37" s="10">
        <v>68</v>
      </c>
      <c r="F37" s="11">
        <v>849</v>
      </c>
      <c r="G37" s="11">
        <v>65.3</v>
      </c>
      <c r="H37" s="10">
        <v>18</v>
      </c>
    </row>
    <row r="38" spans="1:8" x14ac:dyDescent="0.3">
      <c r="A38" s="12">
        <v>3</v>
      </c>
      <c r="B38" s="12" t="s">
        <v>36</v>
      </c>
      <c r="C38" s="5" t="s">
        <v>37</v>
      </c>
      <c r="D38" s="5" t="s">
        <v>39</v>
      </c>
      <c r="E38" s="13">
        <v>29</v>
      </c>
      <c r="F38" s="14">
        <v>689.7</v>
      </c>
      <c r="G38" s="14">
        <v>46.9</v>
      </c>
      <c r="H38" s="13">
        <v>9</v>
      </c>
    </row>
    <row r="39" spans="1:8" x14ac:dyDescent="0.3">
      <c r="A39" s="8">
        <v>3</v>
      </c>
      <c r="B39" s="8" t="s">
        <v>36</v>
      </c>
      <c r="C39" s="9" t="s">
        <v>37</v>
      </c>
      <c r="D39" s="9" t="s">
        <v>40</v>
      </c>
      <c r="E39" s="10">
        <v>135</v>
      </c>
      <c r="F39" s="11">
        <v>191.9</v>
      </c>
      <c r="G39" s="11">
        <v>20.7</v>
      </c>
      <c r="H39" s="10">
        <v>36</v>
      </c>
    </row>
    <row r="40" spans="1:8" x14ac:dyDescent="0.3">
      <c r="A40" s="12">
        <v>3</v>
      </c>
      <c r="B40" s="12" t="s">
        <v>36</v>
      </c>
      <c r="C40" s="5" t="s">
        <v>37</v>
      </c>
      <c r="D40" s="5" t="s">
        <v>41</v>
      </c>
      <c r="E40" s="13">
        <v>51</v>
      </c>
      <c r="F40" s="14">
        <v>319.10000000000002</v>
      </c>
      <c r="G40" s="14">
        <v>29.1</v>
      </c>
      <c r="H40" s="13">
        <v>19</v>
      </c>
    </row>
    <row r="41" spans="1:8" x14ac:dyDescent="0.3">
      <c r="A41" s="8">
        <v>3</v>
      </c>
      <c r="B41" s="8" t="s">
        <v>36</v>
      </c>
      <c r="C41" s="9" t="s">
        <v>42</v>
      </c>
      <c r="D41" s="9" t="s">
        <v>38</v>
      </c>
      <c r="E41" s="10">
        <v>55</v>
      </c>
      <c r="F41" s="11">
        <v>649.29999999999995</v>
      </c>
      <c r="G41" s="11">
        <v>41.5</v>
      </c>
      <c r="H41" s="10">
        <v>20</v>
      </c>
    </row>
    <row r="42" spans="1:8" x14ac:dyDescent="0.3">
      <c r="A42" s="12">
        <v>3</v>
      </c>
      <c r="B42" s="12" t="s">
        <v>36</v>
      </c>
      <c r="C42" s="5" t="s">
        <v>42</v>
      </c>
      <c r="D42" s="5" t="s">
        <v>39</v>
      </c>
      <c r="E42" s="13">
        <v>25</v>
      </c>
      <c r="F42" s="14">
        <v>498.9</v>
      </c>
      <c r="G42" s="14">
        <v>28.2</v>
      </c>
      <c r="H42" s="13">
        <v>9</v>
      </c>
    </row>
    <row r="43" spans="1:8" x14ac:dyDescent="0.3">
      <c r="A43" s="8">
        <v>3</v>
      </c>
      <c r="B43" s="8" t="s">
        <v>36</v>
      </c>
      <c r="C43" s="9" t="s">
        <v>42</v>
      </c>
      <c r="D43" s="9" t="s">
        <v>40</v>
      </c>
      <c r="E43" s="10">
        <v>110</v>
      </c>
      <c r="F43" s="11">
        <v>179.2</v>
      </c>
      <c r="G43" s="11">
        <v>18</v>
      </c>
      <c r="H43" s="10">
        <v>31</v>
      </c>
    </row>
    <row r="44" spans="1:8" x14ac:dyDescent="0.3">
      <c r="A44" s="12">
        <v>3</v>
      </c>
      <c r="B44" s="12" t="s">
        <v>36</v>
      </c>
      <c r="C44" s="5" t="s">
        <v>42</v>
      </c>
      <c r="D44" s="5" t="s">
        <v>41</v>
      </c>
      <c r="E44" s="13">
        <v>41</v>
      </c>
      <c r="F44" s="14">
        <v>262.3</v>
      </c>
      <c r="G44" s="14">
        <v>24.2</v>
      </c>
      <c r="H44" s="13">
        <v>12</v>
      </c>
    </row>
    <row r="45" spans="1:8" x14ac:dyDescent="0.3">
      <c r="A45" s="8">
        <v>3</v>
      </c>
      <c r="B45" s="8" t="s">
        <v>36</v>
      </c>
      <c r="C45" s="9" t="s">
        <v>43</v>
      </c>
      <c r="D45" s="9" t="s">
        <v>38</v>
      </c>
      <c r="E45" s="10">
        <v>30</v>
      </c>
      <c r="F45" s="11">
        <v>384</v>
      </c>
      <c r="G45" s="11">
        <v>27.9</v>
      </c>
      <c r="H45" s="10">
        <v>12</v>
      </c>
    </row>
    <row r="46" spans="1:8" x14ac:dyDescent="0.3">
      <c r="A46" s="12">
        <v>3</v>
      </c>
      <c r="B46" s="12" t="s">
        <v>36</v>
      </c>
      <c r="C46" s="5" t="s">
        <v>43</v>
      </c>
      <c r="D46" s="5" t="s">
        <v>39</v>
      </c>
      <c r="E46" s="13">
        <v>16</v>
      </c>
      <c r="F46" s="14">
        <v>377.8</v>
      </c>
      <c r="G46" s="14">
        <v>19.7</v>
      </c>
      <c r="H46" s="13">
        <v>6</v>
      </c>
    </row>
    <row r="47" spans="1:8" x14ac:dyDescent="0.3">
      <c r="A47" s="8">
        <v>3</v>
      </c>
      <c r="B47" s="8" t="s">
        <v>36</v>
      </c>
      <c r="C47" s="9" t="s">
        <v>43</v>
      </c>
      <c r="D47" s="9" t="s">
        <v>40</v>
      </c>
      <c r="E47" s="10">
        <v>79</v>
      </c>
      <c r="F47" s="11">
        <v>109.6</v>
      </c>
      <c r="G47" s="11">
        <v>9.8000000000000007</v>
      </c>
      <c r="H47" s="10">
        <v>27</v>
      </c>
    </row>
    <row r="48" spans="1:8" x14ac:dyDescent="0.3">
      <c r="A48" s="12">
        <v>3</v>
      </c>
      <c r="B48" s="12" t="s">
        <v>36</v>
      </c>
      <c r="C48" s="5" t="s">
        <v>43</v>
      </c>
      <c r="D48" s="5" t="s">
        <v>41</v>
      </c>
      <c r="E48" s="13">
        <v>31</v>
      </c>
      <c r="F48" s="14">
        <v>175.4</v>
      </c>
      <c r="G48" s="14">
        <v>17.100000000000001</v>
      </c>
      <c r="H48" s="13">
        <v>9</v>
      </c>
    </row>
    <row r="49" spans="1:8" x14ac:dyDescent="0.3">
      <c r="A49" s="8">
        <v>3</v>
      </c>
      <c r="B49" s="8" t="s">
        <v>36</v>
      </c>
      <c r="C49" s="9" t="s">
        <v>44</v>
      </c>
      <c r="D49" s="9" t="s">
        <v>38</v>
      </c>
      <c r="E49" s="10">
        <v>23</v>
      </c>
      <c r="F49" s="11">
        <v>281.2</v>
      </c>
      <c r="G49" s="11">
        <v>19.3</v>
      </c>
      <c r="H49" s="10">
        <v>7</v>
      </c>
    </row>
    <row r="50" spans="1:8" x14ac:dyDescent="0.3">
      <c r="A50" s="12">
        <v>3</v>
      </c>
      <c r="B50" s="12" t="s">
        <v>36</v>
      </c>
      <c r="C50" s="5" t="s">
        <v>44</v>
      </c>
      <c r="D50" s="5" t="s">
        <v>39</v>
      </c>
      <c r="E50" s="13">
        <v>13</v>
      </c>
      <c r="F50" s="14">
        <v>266.8</v>
      </c>
      <c r="G50" s="14">
        <v>16.8</v>
      </c>
      <c r="H50" s="13">
        <v>3</v>
      </c>
    </row>
    <row r="51" spans="1:8" x14ac:dyDescent="0.3">
      <c r="A51" s="8">
        <v>3</v>
      </c>
      <c r="B51" s="8" t="s">
        <v>36</v>
      </c>
      <c r="C51" s="9" t="s">
        <v>44</v>
      </c>
      <c r="D51" s="9" t="s">
        <v>40</v>
      </c>
      <c r="E51" s="10">
        <v>60</v>
      </c>
      <c r="F51" s="11">
        <v>83.6</v>
      </c>
      <c r="G51" s="11">
        <v>8</v>
      </c>
      <c r="H51" s="10">
        <v>17</v>
      </c>
    </row>
    <row r="52" spans="1:8" x14ac:dyDescent="0.3">
      <c r="A52" s="12">
        <v>3</v>
      </c>
      <c r="B52" s="12" t="s">
        <v>36</v>
      </c>
      <c r="C52" s="5" t="s">
        <v>44</v>
      </c>
      <c r="D52" s="5" t="s">
        <v>41</v>
      </c>
      <c r="E52" s="13">
        <v>20</v>
      </c>
      <c r="F52" s="14">
        <v>118.9</v>
      </c>
      <c r="G52" s="14">
        <v>10.5</v>
      </c>
      <c r="H52" s="13">
        <v>6</v>
      </c>
    </row>
    <row r="53" spans="1:8" x14ac:dyDescent="0.3">
      <c r="A53" s="8">
        <v>4</v>
      </c>
      <c r="B53" s="8" t="s">
        <v>45</v>
      </c>
      <c r="C53" s="9" t="s">
        <v>37</v>
      </c>
      <c r="D53" s="9" t="s">
        <v>38</v>
      </c>
      <c r="E53" s="10">
        <v>58</v>
      </c>
      <c r="F53" s="11">
        <v>701.1</v>
      </c>
      <c r="G53" s="11">
        <v>55.3</v>
      </c>
      <c r="H53" s="10">
        <v>22</v>
      </c>
    </row>
    <row r="54" spans="1:8" x14ac:dyDescent="0.3">
      <c r="A54" s="12">
        <v>4</v>
      </c>
      <c r="B54" s="12" t="s">
        <v>45</v>
      </c>
      <c r="C54" s="5" t="s">
        <v>37</v>
      </c>
      <c r="D54" s="5" t="s">
        <v>39</v>
      </c>
      <c r="E54" s="13">
        <v>31</v>
      </c>
      <c r="F54" s="14">
        <v>613.4</v>
      </c>
      <c r="G54" s="14">
        <v>31.8</v>
      </c>
      <c r="H54" s="13">
        <v>12</v>
      </c>
    </row>
    <row r="55" spans="1:8" x14ac:dyDescent="0.3">
      <c r="A55" s="8">
        <v>4</v>
      </c>
      <c r="B55" s="8" t="s">
        <v>45</v>
      </c>
      <c r="C55" s="9" t="s">
        <v>37</v>
      </c>
      <c r="D55" s="9" t="s">
        <v>40</v>
      </c>
      <c r="E55" s="10">
        <v>163</v>
      </c>
      <c r="F55" s="11">
        <v>228.2</v>
      </c>
      <c r="G55" s="11">
        <v>25.7</v>
      </c>
      <c r="H55" s="10">
        <v>45</v>
      </c>
    </row>
    <row r="56" spans="1:8" x14ac:dyDescent="0.3">
      <c r="A56" s="12">
        <v>4</v>
      </c>
      <c r="B56" s="12" t="s">
        <v>45</v>
      </c>
      <c r="C56" s="5" t="s">
        <v>37</v>
      </c>
      <c r="D56" s="5" t="s">
        <v>41</v>
      </c>
      <c r="E56" s="13">
        <v>50</v>
      </c>
      <c r="F56" s="14">
        <v>306.60000000000002</v>
      </c>
      <c r="G56" s="14">
        <v>25.2</v>
      </c>
      <c r="H56" s="13">
        <v>13</v>
      </c>
    </row>
    <row r="57" spans="1:8" x14ac:dyDescent="0.3">
      <c r="A57" s="8">
        <v>4</v>
      </c>
      <c r="B57" s="8" t="s">
        <v>45</v>
      </c>
      <c r="C57" s="9" t="s">
        <v>42</v>
      </c>
      <c r="D57" s="9" t="s">
        <v>38</v>
      </c>
      <c r="E57" s="10">
        <v>49</v>
      </c>
      <c r="F57" s="11">
        <v>615.6</v>
      </c>
      <c r="G57" s="11">
        <v>49.4</v>
      </c>
      <c r="H57" s="10">
        <v>18</v>
      </c>
    </row>
    <row r="58" spans="1:8" x14ac:dyDescent="0.3">
      <c r="A58" s="12">
        <v>4</v>
      </c>
      <c r="B58" s="12" t="s">
        <v>45</v>
      </c>
      <c r="C58" s="5" t="s">
        <v>42</v>
      </c>
      <c r="D58" s="5" t="s">
        <v>39</v>
      </c>
      <c r="E58" s="13">
        <v>25</v>
      </c>
      <c r="F58" s="14">
        <v>509.6</v>
      </c>
      <c r="G58" s="14">
        <v>29.9</v>
      </c>
      <c r="H58" s="13">
        <v>10</v>
      </c>
    </row>
    <row r="59" spans="1:8" x14ac:dyDescent="0.3">
      <c r="A59" s="8">
        <v>4</v>
      </c>
      <c r="B59" s="8" t="s">
        <v>45</v>
      </c>
      <c r="C59" s="9" t="s">
        <v>42</v>
      </c>
      <c r="D59" s="9" t="s">
        <v>40</v>
      </c>
      <c r="E59" s="10">
        <v>110</v>
      </c>
      <c r="F59" s="11">
        <v>176.7</v>
      </c>
      <c r="G59" s="11">
        <v>18.8</v>
      </c>
      <c r="H59" s="10">
        <v>32</v>
      </c>
    </row>
    <row r="60" spans="1:8" x14ac:dyDescent="0.3">
      <c r="A60" s="12">
        <v>4</v>
      </c>
      <c r="B60" s="12" t="s">
        <v>45</v>
      </c>
      <c r="C60" s="5" t="s">
        <v>42</v>
      </c>
      <c r="D60" s="5" t="s">
        <v>41</v>
      </c>
      <c r="E60" s="13">
        <v>49</v>
      </c>
      <c r="F60" s="14">
        <v>291</v>
      </c>
      <c r="G60" s="14">
        <v>26.8</v>
      </c>
      <c r="H60" s="13">
        <v>18</v>
      </c>
    </row>
    <row r="61" spans="1:8" x14ac:dyDescent="0.3">
      <c r="A61" s="8">
        <v>4</v>
      </c>
      <c r="B61" s="8" t="s">
        <v>45</v>
      </c>
      <c r="C61" s="9" t="s">
        <v>43</v>
      </c>
      <c r="D61" s="9" t="s">
        <v>38</v>
      </c>
      <c r="E61" s="10">
        <v>31</v>
      </c>
      <c r="F61" s="11">
        <v>366.7</v>
      </c>
      <c r="G61" s="11">
        <v>26.3</v>
      </c>
      <c r="H61" s="10">
        <v>12</v>
      </c>
    </row>
    <row r="62" spans="1:8" x14ac:dyDescent="0.3">
      <c r="A62" s="12">
        <v>4</v>
      </c>
      <c r="B62" s="12" t="s">
        <v>45</v>
      </c>
      <c r="C62" s="5" t="s">
        <v>43</v>
      </c>
      <c r="D62" s="5" t="s">
        <v>39</v>
      </c>
      <c r="E62" s="13">
        <v>13</v>
      </c>
      <c r="F62" s="14">
        <v>305.89999999999998</v>
      </c>
      <c r="G62" s="14">
        <v>20.9</v>
      </c>
      <c r="H62" s="13">
        <v>4</v>
      </c>
    </row>
    <row r="63" spans="1:8" x14ac:dyDescent="0.3">
      <c r="A63" s="8">
        <v>4</v>
      </c>
      <c r="B63" s="8" t="s">
        <v>45</v>
      </c>
      <c r="C63" s="9" t="s">
        <v>43</v>
      </c>
      <c r="D63" s="9" t="s">
        <v>40</v>
      </c>
      <c r="E63" s="10">
        <v>73</v>
      </c>
      <c r="F63" s="11">
        <v>115.4</v>
      </c>
      <c r="G63" s="11">
        <v>12.1</v>
      </c>
      <c r="H63" s="10">
        <v>20</v>
      </c>
    </row>
    <row r="64" spans="1:8" x14ac:dyDescent="0.3">
      <c r="A64" s="12">
        <v>4</v>
      </c>
      <c r="B64" s="12" t="s">
        <v>45</v>
      </c>
      <c r="C64" s="5" t="s">
        <v>43</v>
      </c>
      <c r="D64" s="5" t="s">
        <v>41</v>
      </c>
      <c r="E64" s="13">
        <v>31</v>
      </c>
      <c r="F64" s="14">
        <v>185.1</v>
      </c>
      <c r="G64" s="14">
        <v>15.4</v>
      </c>
      <c r="H64" s="13">
        <v>11</v>
      </c>
    </row>
    <row r="65" spans="1:8" x14ac:dyDescent="0.3">
      <c r="A65" s="8">
        <v>4</v>
      </c>
      <c r="B65" s="8" t="s">
        <v>45</v>
      </c>
      <c r="C65" s="9" t="s">
        <v>44</v>
      </c>
      <c r="D65" s="9" t="s">
        <v>38</v>
      </c>
      <c r="E65" s="10">
        <v>24</v>
      </c>
      <c r="F65" s="11">
        <v>292.60000000000002</v>
      </c>
      <c r="G65" s="11">
        <v>21</v>
      </c>
      <c r="H65" s="10">
        <v>9</v>
      </c>
    </row>
    <row r="66" spans="1:8" x14ac:dyDescent="0.3">
      <c r="A66" s="12">
        <v>4</v>
      </c>
      <c r="B66" s="12" t="s">
        <v>45</v>
      </c>
      <c r="C66" s="5" t="s">
        <v>44</v>
      </c>
      <c r="D66" s="5" t="s">
        <v>39</v>
      </c>
      <c r="E66" s="13">
        <v>10</v>
      </c>
      <c r="F66" s="14">
        <v>225.2</v>
      </c>
      <c r="G66" s="14">
        <v>14.4</v>
      </c>
      <c r="H66" s="13">
        <v>3</v>
      </c>
    </row>
    <row r="67" spans="1:8" x14ac:dyDescent="0.3">
      <c r="A67" s="8">
        <v>4</v>
      </c>
      <c r="B67" s="8" t="s">
        <v>45</v>
      </c>
      <c r="C67" s="9" t="s">
        <v>44</v>
      </c>
      <c r="D67" s="9" t="s">
        <v>40</v>
      </c>
      <c r="E67" s="10">
        <v>55</v>
      </c>
      <c r="F67" s="11">
        <v>85.4</v>
      </c>
      <c r="G67" s="11">
        <v>8</v>
      </c>
      <c r="H67" s="10">
        <v>20</v>
      </c>
    </row>
    <row r="68" spans="1:8" x14ac:dyDescent="0.3">
      <c r="A68" s="12">
        <v>4</v>
      </c>
      <c r="B68" s="12" t="s">
        <v>45</v>
      </c>
      <c r="C68" s="5" t="s">
        <v>44</v>
      </c>
      <c r="D68" s="5" t="s">
        <v>41</v>
      </c>
      <c r="E68" s="13">
        <v>20</v>
      </c>
      <c r="F68" s="14">
        <v>110.5</v>
      </c>
      <c r="G68" s="14">
        <v>9.8000000000000007</v>
      </c>
      <c r="H68" s="13">
        <v>8</v>
      </c>
    </row>
    <row r="69" spans="1:8" x14ac:dyDescent="0.3">
      <c r="A69" s="8">
        <v>5</v>
      </c>
      <c r="B69" s="8" t="s">
        <v>45</v>
      </c>
      <c r="C69" s="9" t="s">
        <v>37</v>
      </c>
      <c r="D69" s="9" t="s">
        <v>38</v>
      </c>
      <c r="E69" s="10">
        <v>54</v>
      </c>
      <c r="F69" s="11">
        <v>677.3</v>
      </c>
      <c r="G69" s="11">
        <v>43.3</v>
      </c>
      <c r="H69" s="10">
        <v>21</v>
      </c>
    </row>
    <row r="70" spans="1:8" x14ac:dyDescent="0.3">
      <c r="A70" s="12">
        <v>5</v>
      </c>
      <c r="B70" s="12" t="s">
        <v>45</v>
      </c>
      <c r="C70" s="5" t="s">
        <v>37</v>
      </c>
      <c r="D70" s="5" t="s">
        <v>39</v>
      </c>
      <c r="E70" s="13">
        <v>30</v>
      </c>
      <c r="F70" s="14">
        <v>669.1</v>
      </c>
      <c r="G70" s="14">
        <v>44.7</v>
      </c>
      <c r="H70" s="13">
        <v>8</v>
      </c>
    </row>
    <row r="71" spans="1:8" x14ac:dyDescent="0.3">
      <c r="A71" s="8">
        <v>5</v>
      </c>
      <c r="B71" s="8" t="s">
        <v>45</v>
      </c>
      <c r="C71" s="9" t="s">
        <v>37</v>
      </c>
      <c r="D71" s="9" t="s">
        <v>40</v>
      </c>
      <c r="E71" s="10">
        <v>153</v>
      </c>
      <c r="F71" s="11">
        <v>224.1</v>
      </c>
      <c r="G71" s="11">
        <v>23.8</v>
      </c>
      <c r="H71" s="10">
        <v>61</v>
      </c>
    </row>
    <row r="72" spans="1:8" x14ac:dyDescent="0.3">
      <c r="A72" s="12">
        <v>5</v>
      </c>
      <c r="B72" s="12" t="s">
        <v>45</v>
      </c>
      <c r="C72" s="5" t="s">
        <v>37</v>
      </c>
      <c r="D72" s="5" t="s">
        <v>41</v>
      </c>
      <c r="E72" s="13">
        <v>57</v>
      </c>
      <c r="F72" s="14">
        <v>322.8</v>
      </c>
      <c r="G72" s="14">
        <v>24.8</v>
      </c>
      <c r="H72" s="13">
        <v>17</v>
      </c>
    </row>
    <row r="73" spans="1:8" x14ac:dyDescent="0.3">
      <c r="A73" s="8">
        <v>5</v>
      </c>
      <c r="B73" s="8" t="s">
        <v>45</v>
      </c>
      <c r="C73" s="9" t="s">
        <v>42</v>
      </c>
      <c r="D73" s="9" t="s">
        <v>38</v>
      </c>
      <c r="E73" s="10">
        <v>51</v>
      </c>
      <c r="F73" s="11">
        <v>666.5</v>
      </c>
      <c r="G73" s="11">
        <v>52.8</v>
      </c>
      <c r="H73" s="10">
        <v>14</v>
      </c>
    </row>
    <row r="74" spans="1:8" x14ac:dyDescent="0.3">
      <c r="A74" s="12">
        <v>5</v>
      </c>
      <c r="B74" s="12" t="s">
        <v>45</v>
      </c>
      <c r="C74" s="5" t="s">
        <v>42</v>
      </c>
      <c r="D74" s="5" t="s">
        <v>39</v>
      </c>
      <c r="E74" s="13">
        <v>20</v>
      </c>
      <c r="F74" s="14">
        <v>472</v>
      </c>
      <c r="G74" s="14">
        <v>28.8</v>
      </c>
      <c r="H74" s="13">
        <v>7</v>
      </c>
    </row>
    <row r="75" spans="1:8" x14ac:dyDescent="0.3">
      <c r="A75" s="8">
        <v>5</v>
      </c>
      <c r="B75" s="8" t="s">
        <v>45</v>
      </c>
      <c r="C75" s="9" t="s">
        <v>42</v>
      </c>
      <c r="D75" s="9" t="s">
        <v>40</v>
      </c>
      <c r="E75" s="10">
        <v>127</v>
      </c>
      <c r="F75" s="11">
        <v>185.6</v>
      </c>
      <c r="G75" s="11">
        <v>16.899999999999999</v>
      </c>
      <c r="H75" s="10">
        <v>37</v>
      </c>
    </row>
    <row r="76" spans="1:8" x14ac:dyDescent="0.3">
      <c r="A76" s="12">
        <v>5</v>
      </c>
      <c r="B76" s="12" t="s">
        <v>45</v>
      </c>
      <c r="C76" s="5" t="s">
        <v>42</v>
      </c>
      <c r="D76" s="5" t="s">
        <v>41</v>
      </c>
      <c r="E76" s="13">
        <v>47</v>
      </c>
      <c r="F76" s="14">
        <v>263.8</v>
      </c>
      <c r="G76" s="14">
        <v>26.6</v>
      </c>
      <c r="H76" s="13">
        <v>12</v>
      </c>
    </row>
    <row r="77" spans="1:8" x14ac:dyDescent="0.3">
      <c r="A77" s="8">
        <v>5</v>
      </c>
      <c r="B77" s="8" t="s">
        <v>45</v>
      </c>
      <c r="C77" s="9" t="s">
        <v>43</v>
      </c>
      <c r="D77" s="9" t="s">
        <v>38</v>
      </c>
      <c r="E77" s="10">
        <v>31</v>
      </c>
      <c r="F77" s="11">
        <v>407.4</v>
      </c>
      <c r="G77" s="11">
        <v>26.6</v>
      </c>
      <c r="H77" s="10">
        <v>11</v>
      </c>
    </row>
    <row r="78" spans="1:8" x14ac:dyDescent="0.3">
      <c r="A78" s="12">
        <v>5</v>
      </c>
      <c r="B78" s="12" t="s">
        <v>45</v>
      </c>
      <c r="C78" s="5" t="s">
        <v>43</v>
      </c>
      <c r="D78" s="5" t="s">
        <v>39</v>
      </c>
      <c r="E78" s="13">
        <v>17</v>
      </c>
      <c r="F78" s="14">
        <v>348.3</v>
      </c>
      <c r="G78" s="14">
        <v>19.399999999999999</v>
      </c>
      <c r="H78" s="13">
        <v>6</v>
      </c>
    </row>
    <row r="79" spans="1:8" x14ac:dyDescent="0.3">
      <c r="A79" s="8">
        <v>5</v>
      </c>
      <c r="B79" s="8" t="s">
        <v>45</v>
      </c>
      <c r="C79" s="9" t="s">
        <v>43</v>
      </c>
      <c r="D79" s="9" t="s">
        <v>40</v>
      </c>
      <c r="E79" s="10">
        <v>68</v>
      </c>
      <c r="F79" s="11">
        <v>112.1</v>
      </c>
      <c r="G79" s="11">
        <v>9.6</v>
      </c>
      <c r="H79" s="10">
        <v>26</v>
      </c>
    </row>
    <row r="80" spans="1:8" x14ac:dyDescent="0.3">
      <c r="A80" s="12">
        <v>5</v>
      </c>
      <c r="B80" s="12" t="s">
        <v>45</v>
      </c>
      <c r="C80" s="5" t="s">
        <v>43</v>
      </c>
      <c r="D80" s="5" t="s">
        <v>41</v>
      </c>
      <c r="E80" s="13">
        <v>33</v>
      </c>
      <c r="F80" s="14">
        <v>187.8</v>
      </c>
      <c r="G80" s="14">
        <v>17.100000000000001</v>
      </c>
      <c r="H80" s="13">
        <v>11</v>
      </c>
    </row>
    <row r="81" spans="1:8" x14ac:dyDescent="0.3">
      <c r="A81" s="8">
        <v>5</v>
      </c>
      <c r="B81" s="8" t="s">
        <v>45</v>
      </c>
      <c r="C81" s="9" t="s">
        <v>44</v>
      </c>
      <c r="D81" s="9" t="s">
        <v>38</v>
      </c>
      <c r="E81" s="10">
        <v>22</v>
      </c>
      <c r="F81" s="11">
        <v>276.3</v>
      </c>
      <c r="G81" s="11">
        <v>17.2</v>
      </c>
      <c r="H81" s="10">
        <v>8</v>
      </c>
    </row>
    <row r="82" spans="1:8" x14ac:dyDescent="0.3">
      <c r="A82" s="12">
        <v>5</v>
      </c>
      <c r="B82" s="12" t="s">
        <v>45</v>
      </c>
      <c r="C82" s="5" t="s">
        <v>44</v>
      </c>
      <c r="D82" s="5" t="s">
        <v>39</v>
      </c>
      <c r="E82" s="13">
        <v>13</v>
      </c>
      <c r="F82" s="14">
        <v>262.7</v>
      </c>
      <c r="G82" s="14">
        <v>17.5</v>
      </c>
      <c r="H82" s="13">
        <v>4</v>
      </c>
    </row>
    <row r="83" spans="1:8" x14ac:dyDescent="0.3">
      <c r="A83" s="8">
        <v>5</v>
      </c>
      <c r="B83" s="8" t="s">
        <v>45</v>
      </c>
      <c r="C83" s="9" t="s">
        <v>44</v>
      </c>
      <c r="D83" s="9" t="s">
        <v>40</v>
      </c>
      <c r="E83" s="10">
        <v>55</v>
      </c>
      <c r="F83" s="11">
        <v>78</v>
      </c>
      <c r="G83" s="11">
        <v>6.9</v>
      </c>
      <c r="H83" s="10">
        <v>21</v>
      </c>
    </row>
    <row r="84" spans="1:8" x14ac:dyDescent="0.3">
      <c r="A84" s="12">
        <v>5</v>
      </c>
      <c r="B84" s="12" t="s">
        <v>45</v>
      </c>
      <c r="C84" s="5" t="s">
        <v>44</v>
      </c>
      <c r="D84" s="5" t="s">
        <v>41</v>
      </c>
      <c r="E84" s="13">
        <v>19</v>
      </c>
      <c r="F84" s="14">
        <v>121.7</v>
      </c>
      <c r="G84" s="14">
        <v>11.3</v>
      </c>
      <c r="H84" s="13">
        <v>7</v>
      </c>
    </row>
    <row r="85" spans="1:8" x14ac:dyDescent="0.3">
      <c r="A85" s="8">
        <v>6</v>
      </c>
      <c r="B85" s="8" t="s">
        <v>45</v>
      </c>
      <c r="C85" s="9" t="s">
        <v>37</v>
      </c>
      <c r="D85" s="9" t="s">
        <v>38</v>
      </c>
      <c r="E85" s="10">
        <v>78</v>
      </c>
      <c r="F85" s="11">
        <v>876.1</v>
      </c>
      <c r="G85" s="11">
        <v>70.099999999999994</v>
      </c>
      <c r="H85" s="10">
        <v>30</v>
      </c>
    </row>
    <row r="86" spans="1:8" x14ac:dyDescent="0.3">
      <c r="A86" s="12">
        <v>6</v>
      </c>
      <c r="B86" s="12" t="s">
        <v>45</v>
      </c>
      <c r="C86" s="5" t="s">
        <v>37</v>
      </c>
      <c r="D86" s="5" t="s">
        <v>39</v>
      </c>
      <c r="E86" s="13">
        <v>25</v>
      </c>
      <c r="F86" s="14">
        <v>579.9</v>
      </c>
      <c r="G86" s="14">
        <v>37.299999999999997</v>
      </c>
      <c r="H86" s="13">
        <v>10</v>
      </c>
    </row>
    <row r="87" spans="1:8" x14ac:dyDescent="0.3">
      <c r="A87" s="8">
        <v>6</v>
      </c>
      <c r="B87" s="8" t="s">
        <v>45</v>
      </c>
      <c r="C87" s="9" t="s">
        <v>37</v>
      </c>
      <c r="D87" s="9" t="s">
        <v>40</v>
      </c>
      <c r="E87" s="10">
        <v>168</v>
      </c>
      <c r="F87" s="11">
        <v>237.6</v>
      </c>
      <c r="G87" s="11">
        <v>26.4</v>
      </c>
      <c r="H87" s="10">
        <v>49</v>
      </c>
    </row>
    <row r="88" spans="1:8" x14ac:dyDescent="0.3">
      <c r="A88" s="12">
        <v>6</v>
      </c>
      <c r="B88" s="12" t="s">
        <v>45</v>
      </c>
      <c r="C88" s="5" t="s">
        <v>37</v>
      </c>
      <c r="D88" s="5" t="s">
        <v>41</v>
      </c>
      <c r="E88" s="13">
        <v>64</v>
      </c>
      <c r="F88" s="14">
        <v>355.2</v>
      </c>
      <c r="G88" s="14">
        <v>28.2</v>
      </c>
      <c r="H88" s="13">
        <v>24</v>
      </c>
    </row>
    <row r="89" spans="1:8" x14ac:dyDescent="0.3">
      <c r="A89" s="8">
        <v>6</v>
      </c>
      <c r="B89" s="8" t="s">
        <v>45</v>
      </c>
      <c r="C89" s="9" t="s">
        <v>42</v>
      </c>
      <c r="D89" s="9" t="s">
        <v>38</v>
      </c>
      <c r="E89" s="10">
        <v>53</v>
      </c>
      <c r="F89" s="11">
        <v>639.1</v>
      </c>
      <c r="G89" s="11">
        <v>49</v>
      </c>
      <c r="H89" s="10">
        <v>16</v>
      </c>
    </row>
    <row r="90" spans="1:8" x14ac:dyDescent="0.3">
      <c r="A90" s="12">
        <v>6</v>
      </c>
      <c r="B90" s="12" t="s">
        <v>45</v>
      </c>
      <c r="C90" s="5" t="s">
        <v>42</v>
      </c>
      <c r="D90" s="5" t="s">
        <v>39</v>
      </c>
      <c r="E90" s="13">
        <v>25</v>
      </c>
      <c r="F90" s="14">
        <v>595.79999999999995</v>
      </c>
      <c r="G90" s="14">
        <v>32.799999999999997</v>
      </c>
      <c r="H90" s="13">
        <v>7</v>
      </c>
    </row>
    <row r="91" spans="1:8" x14ac:dyDescent="0.3">
      <c r="A91" s="8">
        <v>6</v>
      </c>
      <c r="B91" s="8" t="s">
        <v>45</v>
      </c>
      <c r="C91" s="9" t="s">
        <v>42</v>
      </c>
      <c r="D91" s="9" t="s">
        <v>40</v>
      </c>
      <c r="E91" s="10">
        <v>132</v>
      </c>
      <c r="F91" s="11">
        <v>180.5</v>
      </c>
      <c r="G91" s="11">
        <v>20</v>
      </c>
      <c r="H91" s="10">
        <v>39</v>
      </c>
    </row>
    <row r="92" spans="1:8" x14ac:dyDescent="0.3">
      <c r="A92" s="12">
        <v>6</v>
      </c>
      <c r="B92" s="12" t="s">
        <v>45</v>
      </c>
      <c r="C92" s="5" t="s">
        <v>42</v>
      </c>
      <c r="D92" s="5" t="s">
        <v>41</v>
      </c>
      <c r="E92" s="13">
        <v>53</v>
      </c>
      <c r="F92" s="14">
        <v>292.10000000000002</v>
      </c>
      <c r="G92" s="14">
        <v>25.5</v>
      </c>
      <c r="H92" s="13">
        <v>18</v>
      </c>
    </row>
    <row r="93" spans="1:8" x14ac:dyDescent="0.3">
      <c r="A93" s="8">
        <v>6</v>
      </c>
      <c r="B93" s="8" t="s">
        <v>45</v>
      </c>
      <c r="C93" s="9" t="s">
        <v>43</v>
      </c>
      <c r="D93" s="9" t="s">
        <v>38</v>
      </c>
      <c r="E93" s="10">
        <v>45</v>
      </c>
      <c r="F93" s="11">
        <v>489.8</v>
      </c>
      <c r="G93" s="11">
        <v>30.3</v>
      </c>
      <c r="H93" s="10">
        <v>12</v>
      </c>
    </row>
    <row r="94" spans="1:8" x14ac:dyDescent="0.3">
      <c r="A94" s="12">
        <v>6</v>
      </c>
      <c r="B94" s="12" t="s">
        <v>45</v>
      </c>
      <c r="C94" s="5" t="s">
        <v>43</v>
      </c>
      <c r="D94" s="5" t="s">
        <v>39</v>
      </c>
      <c r="E94" s="13">
        <v>17</v>
      </c>
      <c r="F94" s="14">
        <v>400</v>
      </c>
      <c r="G94" s="14">
        <v>22.3</v>
      </c>
      <c r="H94" s="13">
        <v>5</v>
      </c>
    </row>
    <row r="95" spans="1:8" x14ac:dyDescent="0.3">
      <c r="A95" s="8">
        <v>6</v>
      </c>
      <c r="B95" s="8" t="s">
        <v>45</v>
      </c>
      <c r="C95" s="9" t="s">
        <v>43</v>
      </c>
      <c r="D95" s="9" t="s">
        <v>40</v>
      </c>
      <c r="E95" s="10">
        <v>87</v>
      </c>
      <c r="F95" s="11">
        <v>128.5</v>
      </c>
      <c r="G95" s="11">
        <v>12.1</v>
      </c>
      <c r="H95" s="10">
        <v>28</v>
      </c>
    </row>
    <row r="96" spans="1:8" x14ac:dyDescent="0.3">
      <c r="A96" s="12">
        <v>6</v>
      </c>
      <c r="B96" s="12" t="s">
        <v>45</v>
      </c>
      <c r="C96" s="5" t="s">
        <v>43</v>
      </c>
      <c r="D96" s="5" t="s">
        <v>41</v>
      </c>
      <c r="E96" s="13">
        <v>28</v>
      </c>
      <c r="F96" s="14">
        <v>177.7</v>
      </c>
      <c r="G96" s="14">
        <v>16.399999999999999</v>
      </c>
      <c r="H96" s="13">
        <v>10</v>
      </c>
    </row>
    <row r="97" spans="1:8" x14ac:dyDescent="0.3">
      <c r="A97" s="8">
        <v>6</v>
      </c>
      <c r="B97" s="8" t="s">
        <v>45</v>
      </c>
      <c r="C97" s="9" t="s">
        <v>44</v>
      </c>
      <c r="D97" s="9" t="s">
        <v>38</v>
      </c>
      <c r="E97" s="10">
        <v>24</v>
      </c>
      <c r="F97" s="11">
        <v>283.7</v>
      </c>
      <c r="G97" s="11">
        <v>22.4</v>
      </c>
      <c r="H97" s="10">
        <v>9</v>
      </c>
    </row>
    <row r="98" spans="1:8" x14ac:dyDescent="0.3">
      <c r="A98" s="12">
        <v>6</v>
      </c>
      <c r="B98" s="12" t="s">
        <v>45</v>
      </c>
      <c r="C98" s="5" t="s">
        <v>44</v>
      </c>
      <c r="D98" s="5" t="s">
        <v>39</v>
      </c>
      <c r="E98" s="13">
        <v>12</v>
      </c>
      <c r="F98" s="14">
        <v>277</v>
      </c>
      <c r="G98" s="14">
        <v>17.5</v>
      </c>
      <c r="H98" s="13">
        <v>3</v>
      </c>
    </row>
    <row r="99" spans="1:8" x14ac:dyDescent="0.3">
      <c r="A99" s="8">
        <v>6</v>
      </c>
      <c r="B99" s="8" t="s">
        <v>45</v>
      </c>
      <c r="C99" s="9" t="s">
        <v>44</v>
      </c>
      <c r="D99" s="9" t="s">
        <v>40</v>
      </c>
      <c r="E99" s="10">
        <v>59</v>
      </c>
      <c r="F99" s="11">
        <v>92.1</v>
      </c>
      <c r="G99" s="11">
        <v>8.6999999999999993</v>
      </c>
      <c r="H99" s="10">
        <v>22</v>
      </c>
    </row>
    <row r="100" spans="1:8" x14ac:dyDescent="0.3">
      <c r="A100" s="12">
        <v>6</v>
      </c>
      <c r="B100" s="12" t="s">
        <v>45</v>
      </c>
      <c r="C100" s="5" t="s">
        <v>44</v>
      </c>
      <c r="D100" s="5" t="s">
        <v>41</v>
      </c>
      <c r="E100" s="13">
        <v>22</v>
      </c>
      <c r="F100" s="14">
        <v>139.9</v>
      </c>
      <c r="G100" s="14">
        <v>11.8</v>
      </c>
      <c r="H100" s="13">
        <v>7</v>
      </c>
    </row>
    <row r="101" spans="1:8" x14ac:dyDescent="0.3">
      <c r="A101" s="8">
        <v>7</v>
      </c>
      <c r="B101" s="8" t="s">
        <v>46</v>
      </c>
      <c r="C101" s="9" t="s">
        <v>37</v>
      </c>
      <c r="D101" s="9" t="s">
        <v>38</v>
      </c>
      <c r="E101" s="10">
        <v>65</v>
      </c>
      <c r="F101" s="11">
        <v>837.5</v>
      </c>
      <c r="G101" s="11">
        <v>55</v>
      </c>
      <c r="H101" s="10">
        <v>20</v>
      </c>
    </row>
    <row r="102" spans="1:8" x14ac:dyDescent="0.3">
      <c r="A102" s="12">
        <v>7</v>
      </c>
      <c r="B102" s="12" t="s">
        <v>46</v>
      </c>
      <c r="C102" s="5" t="s">
        <v>37</v>
      </c>
      <c r="D102" s="5" t="s">
        <v>39</v>
      </c>
      <c r="E102" s="13">
        <v>38</v>
      </c>
      <c r="F102" s="14">
        <v>770.4</v>
      </c>
      <c r="G102" s="14">
        <v>48.7</v>
      </c>
      <c r="H102" s="13">
        <v>13</v>
      </c>
    </row>
    <row r="103" spans="1:8" x14ac:dyDescent="0.3">
      <c r="A103" s="8">
        <v>7</v>
      </c>
      <c r="B103" s="8" t="s">
        <v>46</v>
      </c>
      <c r="C103" s="9" t="s">
        <v>37</v>
      </c>
      <c r="D103" s="9" t="s">
        <v>40</v>
      </c>
      <c r="E103" s="10">
        <v>135</v>
      </c>
      <c r="F103" s="11">
        <v>224.6</v>
      </c>
      <c r="G103" s="11">
        <v>22.8</v>
      </c>
      <c r="H103" s="10">
        <v>40</v>
      </c>
    </row>
    <row r="104" spans="1:8" x14ac:dyDescent="0.3">
      <c r="A104" s="12">
        <v>7</v>
      </c>
      <c r="B104" s="12" t="s">
        <v>46</v>
      </c>
      <c r="C104" s="5" t="s">
        <v>37</v>
      </c>
      <c r="D104" s="5" t="s">
        <v>41</v>
      </c>
      <c r="E104" s="13">
        <v>60</v>
      </c>
      <c r="F104" s="14">
        <v>347.8</v>
      </c>
      <c r="G104" s="14">
        <v>32.1</v>
      </c>
      <c r="H104" s="13">
        <v>19</v>
      </c>
    </row>
    <row r="105" spans="1:8" x14ac:dyDescent="0.3">
      <c r="A105" s="8">
        <v>7</v>
      </c>
      <c r="B105" s="8" t="s">
        <v>46</v>
      </c>
      <c r="C105" s="9" t="s">
        <v>42</v>
      </c>
      <c r="D105" s="9" t="s">
        <v>38</v>
      </c>
      <c r="E105" s="10">
        <v>60</v>
      </c>
      <c r="F105" s="11">
        <v>718.8</v>
      </c>
      <c r="G105" s="11">
        <v>46</v>
      </c>
      <c r="H105" s="10">
        <v>23</v>
      </c>
    </row>
    <row r="106" spans="1:8" x14ac:dyDescent="0.3">
      <c r="A106" s="12">
        <v>7</v>
      </c>
      <c r="B106" s="12" t="s">
        <v>46</v>
      </c>
      <c r="C106" s="5" t="s">
        <v>42</v>
      </c>
      <c r="D106" s="5" t="s">
        <v>39</v>
      </c>
      <c r="E106" s="13">
        <v>26</v>
      </c>
      <c r="F106" s="14">
        <v>634.4</v>
      </c>
      <c r="G106" s="14">
        <v>34.299999999999997</v>
      </c>
      <c r="H106" s="13">
        <v>9</v>
      </c>
    </row>
    <row r="107" spans="1:8" x14ac:dyDescent="0.3">
      <c r="A107" s="8">
        <v>7</v>
      </c>
      <c r="B107" s="8" t="s">
        <v>46</v>
      </c>
      <c r="C107" s="9" t="s">
        <v>42</v>
      </c>
      <c r="D107" s="9" t="s">
        <v>40</v>
      </c>
      <c r="E107" s="10">
        <v>147</v>
      </c>
      <c r="F107" s="11">
        <v>206.9</v>
      </c>
      <c r="G107" s="11">
        <v>19.7</v>
      </c>
      <c r="H107" s="10">
        <v>53</v>
      </c>
    </row>
    <row r="108" spans="1:8" x14ac:dyDescent="0.3">
      <c r="A108" s="12">
        <v>7</v>
      </c>
      <c r="B108" s="12" t="s">
        <v>46</v>
      </c>
      <c r="C108" s="5" t="s">
        <v>42</v>
      </c>
      <c r="D108" s="5" t="s">
        <v>41</v>
      </c>
      <c r="E108" s="13">
        <v>49</v>
      </c>
      <c r="F108" s="14">
        <v>313.2</v>
      </c>
      <c r="G108" s="14">
        <v>25.9</v>
      </c>
      <c r="H108" s="13">
        <v>12</v>
      </c>
    </row>
    <row r="109" spans="1:8" x14ac:dyDescent="0.3">
      <c r="A109" s="8">
        <v>7</v>
      </c>
      <c r="B109" s="8" t="s">
        <v>46</v>
      </c>
      <c r="C109" s="9" t="s">
        <v>43</v>
      </c>
      <c r="D109" s="9" t="s">
        <v>38</v>
      </c>
      <c r="E109" s="10">
        <v>39</v>
      </c>
      <c r="F109" s="11">
        <v>442.8</v>
      </c>
      <c r="G109" s="11">
        <v>30.8</v>
      </c>
      <c r="H109" s="10">
        <v>10</v>
      </c>
    </row>
    <row r="110" spans="1:8" x14ac:dyDescent="0.3">
      <c r="A110" s="12">
        <v>7</v>
      </c>
      <c r="B110" s="12" t="s">
        <v>46</v>
      </c>
      <c r="C110" s="5" t="s">
        <v>43</v>
      </c>
      <c r="D110" s="5" t="s">
        <v>39</v>
      </c>
      <c r="E110" s="13">
        <v>16</v>
      </c>
      <c r="F110" s="14">
        <v>375.4</v>
      </c>
      <c r="G110" s="14">
        <v>23.4</v>
      </c>
      <c r="H110" s="13">
        <v>6</v>
      </c>
    </row>
    <row r="111" spans="1:8" x14ac:dyDescent="0.3">
      <c r="A111" s="8">
        <v>7</v>
      </c>
      <c r="B111" s="8" t="s">
        <v>46</v>
      </c>
      <c r="C111" s="9" t="s">
        <v>43</v>
      </c>
      <c r="D111" s="9" t="s">
        <v>40</v>
      </c>
      <c r="E111" s="10">
        <v>89</v>
      </c>
      <c r="F111" s="11">
        <v>129.5</v>
      </c>
      <c r="G111" s="11">
        <v>12</v>
      </c>
      <c r="H111" s="10">
        <v>22</v>
      </c>
    </row>
    <row r="112" spans="1:8" x14ac:dyDescent="0.3">
      <c r="A112" s="12">
        <v>7</v>
      </c>
      <c r="B112" s="12" t="s">
        <v>46</v>
      </c>
      <c r="C112" s="5" t="s">
        <v>43</v>
      </c>
      <c r="D112" s="5" t="s">
        <v>41</v>
      </c>
      <c r="E112" s="13">
        <v>32</v>
      </c>
      <c r="F112" s="14">
        <v>206.3</v>
      </c>
      <c r="G112" s="14">
        <v>20.100000000000001</v>
      </c>
      <c r="H112" s="13">
        <v>10</v>
      </c>
    </row>
    <row r="113" spans="1:8" x14ac:dyDescent="0.3">
      <c r="A113" s="8">
        <v>7</v>
      </c>
      <c r="B113" s="8" t="s">
        <v>46</v>
      </c>
      <c r="C113" s="9" t="s">
        <v>44</v>
      </c>
      <c r="D113" s="9" t="s">
        <v>38</v>
      </c>
      <c r="E113" s="10">
        <v>26</v>
      </c>
      <c r="F113" s="11">
        <v>316.39999999999998</v>
      </c>
      <c r="G113" s="11">
        <v>25.2</v>
      </c>
      <c r="H113" s="10">
        <v>7</v>
      </c>
    </row>
    <row r="114" spans="1:8" x14ac:dyDescent="0.3">
      <c r="A114" s="12">
        <v>7</v>
      </c>
      <c r="B114" s="12" t="s">
        <v>46</v>
      </c>
      <c r="C114" s="5" t="s">
        <v>44</v>
      </c>
      <c r="D114" s="5" t="s">
        <v>39</v>
      </c>
      <c r="E114" s="13">
        <v>12</v>
      </c>
      <c r="F114" s="14">
        <v>261.89999999999998</v>
      </c>
      <c r="G114" s="14">
        <v>17.399999999999999</v>
      </c>
      <c r="H114" s="13">
        <v>4</v>
      </c>
    </row>
    <row r="115" spans="1:8" x14ac:dyDescent="0.3">
      <c r="A115" s="8">
        <v>7</v>
      </c>
      <c r="B115" s="8" t="s">
        <v>46</v>
      </c>
      <c r="C115" s="9" t="s">
        <v>44</v>
      </c>
      <c r="D115" s="9" t="s">
        <v>40</v>
      </c>
      <c r="E115" s="10">
        <v>67</v>
      </c>
      <c r="F115" s="11">
        <v>98.1</v>
      </c>
      <c r="G115" s="11">
        <v>11.2</v>
      </c>
      <c r="H115" s="10">
        <v>26</v>
      </c>
    </row>
    <row r="116" spans="1:8" x14ac:dyDescent="0.3">
      <c r="A116" s="12">
        <v>7</v>
      </c>
      <c r="B116" s="12" t="s">
        <v>46</v>
      </c>
      <c r="C116" s="5" t="s">
        <v>44</v>
      </c>
      <c r="D116" s="5" t="s">
        <v>41</v>
      </c>
      <c r="E116" s="13">
        <v>27</v>
      </c>
      <c r="F116" s="14">
        <v>154.80000000000001</v>
      </c>
      <c r="G116" s="14">
        <v>14.4</v>
      </c>
      <c r="H116" s="13">
        <v>9</v>
      </c>
    </row>
    <row r="117" spans="1:8" x14ac:dyDescent="0.3">
      <c r="A117" s="8">
        <v>8</v>
      </c>
      <c r="B117" s="8" t="s">
        <v>46</v>
      </c>
      <c r="C117" s="9" t="s">
        <v>37</v>
      </c>
      <c r="D117" s="9" t="s">
        <v>38</v>
      </c>
      <c r="E117" s="10">
        <v>84</v>
      </c>
      <c r="F117" s="11">
        <v>936</v>
      </c>
      <c r="G117" s="11">
        <v>66.5</v>
      </c>
      <c r="H117" s="10">
        <v>30</v>
      </c>
    </row>
    <row r="118" spans="1:8" x14ac:dyDescent="0.3">
      <c r="A118" s="12">
        <v>8</v>
      </c>
      <c r="B118" s="12" t="s">
        <v>46</v>
      </c>
      <c r="C118" s="5" t="s">
        <v>37</v>
      </c>
      <c r="D118" s="5" t="s">
        <v>39</v>
      </c>
      <c r="E118" s="13">
        <v>30</v>
      </c>
      <c r="F118" s="14">
        <v>700.3</v>
      </c>
      <c r="G118" s="14">
        <v>39</v>
      </c>
      <c r="H118" s="13">
        <v>10</v>
      </c>
    </row>
    <row r="119" spans="1:8" x14ac:dyDescent="0.3">
      <c r="A119" s="8">
        <v>8</v>
      </c>
      <c r="B119" s="8" t="s">
        <v>46</v>
      </c>
      <c r="C119" s="9" t="s">
        <v>37</v>
      </c>
      <c r="D119" s="9" t="s">
        <v>40</v>
      </c>
      <c r="E119" s="10">
        <v>173</v>
      </c>
      <c r="F119" s="11">
        <v>253.7</v>
      </c>
      <c r="G119" s="11">
        <v>25.5</v>
      </c>
      <c r="H119" s="10">
        <v>50</v>
      </c>
    </row>
    <row r="120" spans="1:8" x14ac:dyDescent="0.3">
      <c r="A120" s="12">
        <v>8</v>
      </c>
      <c r="B120" s="12" t="s">
        <v>46</v>
      </c>
      <c r="C120" s="5" t="s">
        <v>37</v>
      </c>
      <c r="D120" s="5" t="s">
        <v>41</v>
      </c>
      <c r="E120" s="13">
        <v>51</v>
      </c>
      <c r="F120" s="14">
        <v>321.39999999999998</v>
      </c>
      <c r="G120" s="14">
        <v>27.1</v>
      </c>
      <c r="H120" s="13">
        <v>15</v>
      </c>
    </row>
    <row r="121" spans="1:8" x14ac:dyDescent="0.3">
      <c r="A121" s="8">
        <v>8</v>
      </c>
      <c r="B121" s="8" t="s">
        <v>46</v>
      </c>
      <c r="C121" s="9" t="s">
        <v>42</v>
      </c>
      <c r="D121" s="9" t="s">
        <v>38</v>
      </c>
      <c r="E121" s="10">
        <v>59</v>
      </c>
      <c r="F121" s="11">
        <v>744.2</v>
      </c>
      <c r="G121" s="11">
        <v>46.4</v>
      </c>
      <c r="H121" s="10">
        <v>21</v>
      </c>
    </row>
    <row r="122" spans="1:8" x14ac:dyDescent="0.3">
      <c r="A122" s="12">
        <v>8</v>
      </c>
      <c r="B122" s="12" t="s">
        <v>46</v>
      </c>
      <c r="C122" s="5" t="s">
        <v>42</v>
      </c>
      <c r="D122" s="5" t="s">
        <v>39</v>
      </c>
      <c r="E122" s="13">
        <v>28</v>
      </c>
      <c r="F122" s="14">
        <v>628.6</v>
      </c>
      <c r="G122" s="14">
        <v>32.799999999999997</v>
      </c>
      <c r="H122" s="13">
        <v>9</v>
      </c>
    </row>
    <row r="123" spans="1:8" x14ac:dyDescent="0.3">
      <c r="A123" s="8">
        <v>8</v>
      </c>
      <c r="B123" s="8" t="s">
        <v>46</v>
      </c>
      <c r="C123" s="9" t="s">
        <v>42</v>
      </c>
      <c r="D123" s="9" t="s">
        <v>40</v>
      </c>
      <c r="E123" s="10">
        <v>130</v>
      </c>
      <c r="F123" s="11">
        <v>198.6</v>
      </c>
      <c r="G123" s="11">
        <v>18.100000000000001</v>
      </c>
      <c r="H123" s="10">
        <v>50</v>
      </c>
    </row>
    <row r="124" spans="1:8" x14ac:dyDescent="0.3">
      <c r="A124" s="12">
        <v>8</v>
      </c>
      <c r="B124" s="12" t="s">
        <v>46</v>
      </c>
      <c r="C124" s="5" t="s">
        <v>42</v>
      </c>
      <c r="D124" s="5" t="s">
        <v>41</v>
      </c>
      <c r="E124" s="13">
        <v>55</v>
      </c>
      <c r="F124" s="14">
        <v>310.2</v>
      </c>
      <c r="G124" s="14">
        <v>29.6</v>
      </c>
      <c r="H124" s="13">
        <v>20</v>
      </c>
    </row>
    <row r="125" spans="1:8" x14ac:dyDescent="0.3">
      <c r="A125" s="8">
        <v>8</v>
      </c>
      <c r="B125" s="8" t="s">
        <v>46</v>
      </c>
      <c r="C125" s="9" t="s">
        <v>43</v>
      </c>
      <c r="D125" s="9" t="s">
        <v>38</v>
      </c>
      <c r="E125" s="10">
        <v>37</v>
      </c>
      <c r="F125" s="11">
        <v>463.3</v>
      </c>
      <c r="G125" s="11">
        <v>27.6</v>
      </c>
      <c r="H125" s="10">
        <v>13</v>
      </c>
    </row>
    <row r="126" spans="1:8" x14ac:dyDescent="0.3">
      <c r="A126" s="12">
        <v>8</v>
      </c>
      <c r="B126" s="12" t="s">
        <v>46</v>
      </c>
      <c r="C126" s="5" t="s">
        <v>43</v>
      </c>
      <c r="D126" s="5" t="s">
        <v>39</v>
      </c>
      <c r="E126" s="13">
        <v>19</v>
      </c>
      <c r="F126" s="14">
        <v>420.4</v>
      </c>
      <c r="G126" s="14">
        <v>28.7</v>
      </c>
      <c r="H126" s="13">
        <v>7</v>
      </c>
    </row>
    <row r="127" spans="1:8" x14ac:dyDescent="0.3">
      <c r="A127" s="8">
        <v>8</v>
      </c>
      <c r="B127" s="8" t="s">
        <v>46</v>
      </c>
      <c r="C127" s="9" t="s">
        <v>43</v>
      </c>
      <c r="D127" s="9" t="s">
        <v>40</v>
      </c>
      <c r="E127" s="10">
        <v>83</v>
      </c>
      <c r="F127" s="11">
        <v>132.6</v>
      </c>
      <c r="G127" s="11">
        <v>13.7</v>
      </c>
      <c r="H127" s="10">
        <v>23</v>
      </c>
    </row>
    <row r="128" spans="1:8" x14ac:dyDescent="0.3">
      <c r="A128" s="12">
        <v>8</v>
      </c>
      <c r="B128" s="12" t="s">
        <v>46</v>
      </c>
      <c r="C128" s="5" t="s">
        <v>43</v>
      </c>
      <c r="D128" s="5" t="s">
        <v>41</v>
      </c>
      <c r="E128" s="13">
        <v>31</v>
      </c>
      <c r="F128" s="14">
        <v>193.7</v>
      </c>
      <c r="G128" s="14">
        <v>15</v>
      </c>
      <c r="H128" s="13">
        <v>11</v>
      </c>
    </row>
    <row r="129" spans="1:8" x14ac:dyDescent="0.3">
      <c r="A129" s="8">
        <v>8</v>
      </c>
      <c r="B129" s="8" t="s">
        <v>46</v>
      </c>
      <c r="C129" s="9" t="s">
        <v>44</v>
      </c>
      <c r="D129" s="9" t="s">
        <v>38</v>
      </c>
      <c r="E129" s="10">
        <v>28</v>
      </c>
      <c r="F129" s="11">
        <v>338.9</v>
      </c>
      <c r="G129" s="11">
        <v>21.3</v>
      </c>
      <c r="H129" s="10">
        <v>8</v>
      </c>
    </row>
    <row r="130" spans="1:8" x14ac:dyDescent="0.3">
      <c r="A130" s="12">
        <v>8</v>
      </c>
      <c r="B130" s="12" t="s">
        <v>46</v>
      </c>
      <c r="C130" s="5" t="s">
        <v>44</v>
      </c>
      <c r="D130" s="5" t="s">
        <v>39</v>
      </c>
      <c r="E130" s="13">
        <v>13</v>
      </c>
      <c r="F130" s="14">
        <v>290.10000000000002</v>
      </c>
      <c r="G130" s="14">
        <v>14.9</v>
      </c>
      <c r="H130" s="13">
        <v>4</v>
      </c>
    </row>
    <row r="131" spans="1:8" x14ac:dyDescent="0.3">
      <c r="A131" s="8">
        <v>8</v>
      </c>
      <c r="B131" s="8" t="s">
        <v>46</v>
      </c>
      <c r="C131" s="9" t="s">
        <v>44</v>
      </c>
      <c r="D131" s="9" t="s">
        <v>40</v>
      </c>
      <c r="E131" s="10">
        <v>52</v>
      </c>
      <c r="F131" s="11">
        <v>84.6</v>
      </c>
      <c r="G131" s="11">
        <v>8.8000000000000007</v>
      </c>
      <c r="H131" s="10">
        <v>17</v>
      </c>
    </row>
    <row r="132" spans="1:8" x14ac:dyDescent="0.3">
      <c r="A132" s="12">
        <v>8</v>
      </c>
      <c r="B132" s="12" t="s">
        <v>46</v>
      </c>
      <c r="C132" s="5" t="s">
        <v>44</v>
      </c>
      <c r="D132" s="5" t="s">
        <v>41</v>
      </c>
      <c r="E132" s="13">
        <v>20</v>
      </c>
      <c r="F132" s="14">
        <v>127.6</v>
      </c>
      <c r="G132" s="14">
        <v>11.1</v>
      </c>
      <c r="H132" s="13">
        <v>6</v>
      </c>
    </row>
    <row r="133" spans="1:8" x14ac:dyDescent="0.3">
      <c r="A133" s="8">
        <v>9</v>
      </c>
      <c r="B133" s="8" t="s">
        <v>46</v>
      </c>
      <c r="C133" s="9" t="s">
        <v>37</v>
      </c>
      <c r="D133" s="9" t="s">
        <v>38</v>
      </c>
      <c r="E133" s="10">
        <v>86</v>
      </c>
      <c r="F133" s="11">
        <v>978.4</v>
      </c>
      <c r="G133" s="11">
        <v>66</v>
      </c>
      <c r="H133" s="10">
        <v>32</v>
      </c>
    </row>
    <row r="134" spans="1:8" x14ac:dyDescent="0.3">
      <c r="A134" s="12">
        <v>9</v>
      </c>
      <c r="B134" s="12" t="s">
        <v>46</v>
      </c>
      <c r="C134" s="5" t="s">
        <v>37</v>
      </c>
      <c r="D134" s="5" t="s">
        <v>39</v>
      </c>
      <c r="E134" s="13">
        <v>29</v>
      </c>
      <c r="F134" s="14">
        <v>703.5</v>
      </c>
      <c r="G134" s="14">
        <v>36.9</v>
      </c>
      <c r="H134" s="13">
        <v>10</v>
      </c>
    </row>
    <row r="135" spans="1:8" x14ac:dyDescent="0.3">
      <c r="A135" s="8">
        <v>9</v>
      </c>
      <c r="B135" s="8" t="s">
        <v>46</v>
      </c>
      <c r="C135" s="9" t="s">
        <v>37</v>
      </c>
      <c r="D135" s="9" t="s">
        <v>40</v>
      </c>
      <c r="E135" s="10">
        <v>195</v>
      </c>
      <c r="F135" s="11">
        <v>283.60000000000002</v>
      </c>
      <c r="G135" s="11">
        <v>27.1</v>
      </c>
      <c r="H135" s="10">
        <v>72</v>
      </c>
    </row>
    <row r="136" spans="1:8" x14ac:dyDescent="0.3">
      <c r="A136" s="12">
        <v>9</v>
      </c>
      <c r="B136" s="12" t="s">
        <v>46</v>
      </c>
      <c r="C136" s="5" t="s">
        <v>37</v>
      </c>
      <c r="D136" s="5" t="s">
        <v>41</v>
      </c>
      <c r="E136" s="13">
        <v>71</v>
      </c>
      <c r="F136" s="14">
        <v>393.6</v>
      </c>
      <c r="G136" s="14">
        <v>38.1</v>
      </c>
      <c r="H136" s="13">
        <v>20</v>
      </c>
    </row>
    <row r="137" spans="1:8" x14ac:dyDescent="0.3">
      <c r="A137" s="8">
        <v>9</v>
      </c>
      <c r="B137" s="8" t="s">
        <v>46</v>
      </c>
      <c r="C137" s="9" t="s">
        <v>42</v>
      </c>
      <c r="D137" s="9" t="s">
        <v>38</v>
      </c>
      <c r="E137" s="10">
        <v>53</v>
      </c>
      <c r="F137" s="11">
        <v>692.5</v>
      </c>
      <c r="G137" s="11">
        <v>43.4</v>
      </c>
      <c r="H137" s="10">
        <v>19</v>
      </c>
    </row>
    <row r="138" spans="1:8" x14ac:dyDescent="0.3">
      <c r="A138" s="12">
        <v>9</v>
      </c>
      <c r="B138" s="12" t="s">
        <v>46</v>
      </c>
      <c r="C138" s="5" t="s">
        <v>42</v>
      </c>
      <c r="D138" s="5" t="s">
        <v>39</v>
      </c>
      <c r="E138" s="13">
        <v>31</v>
      </c>
      <c r="F138" s="14">
        <v>645.6</v>
      </c>
      <c r="G138" s="14">
        <v>35.5</v>
      </c>
      <c r="H138" s="13">
        <v>11</v>
      </c>
    </row>
    <row r="139" spans="1:8" x14ac:dyDescent="0.3">
      <c r="A139" s="8">
        <v>9</v>
      </c>
      <c r="B139" s="8" t="s">
        <v>46</v>
      </c>
      <c r="C139" s="9" t="s">
        <v>42</v>
      </c>
      <c r="D139" s="9" t="s">
        <v>40</v>
      </c>
      <c r="E139" s="10">
        <v>139</v>
      </c>
      <c r="F139" s="11">
        <v>198</v>
      </c>
      <c r="G139" s="11">
        <v>20.399999999999999</v>
      </c>
      <c r="H139" s="10">
        <v>37</v>
      </c>
    </row>
    <row r="140" spans="1:8" x14ac:dyDescent="0.3">
      <c r="A140" s="12">
        <v>9</v>
      </c>
      <c r="B140" s="12" t="s">
        <v>46</v>
      </c>
      <c r="C140" s="5" t="s">
        <v>42</v>
      </c>
      <c r="D140" s="5" t="s">
        <v>41</v>
      </c>
      <c r="E140" s="13">
        <v>53</v>
      </c>
      <c r="F140" s="14">
        <v>347.5</v>
      </c>
      <c r="G140" s="14">
        <v>35.6</v>
      </c>
      <c r="H140" s="13">
        <v>13</v>
      </c>
    </row>
    <row r="141" spans="1:8" x14ac:dyDescent="0.3">
      <c r="A141" s="8">
        <v>9</v>
      </c>
      <c r="B141" s="8" t="s">
        <v>46</v>
      </c>
      <c r="C141" s="9" t="s">
        <v>43</v>
      </c>
      <c r="D141" s="9" t="s">
        <v>38</v>
      </c>
      <c r="E141" s="10">
        <v>44</v>
      </c>
      <c r="F141" s="11">
        <v>483.5</v>
      </c>
      <c r="G141" s="11">
        <v>35.6</v>
      </c>
      <c r="H141" s="10">
        <v>14</v>
      </c>
    </row>
    <row r="142" spans="1:8" x14ac:dyDescent="0.3">
      <c r="A142" s="12">
        <v>9</v>
      </c>
      <c r="B142" s="12" t="s">
        <v>46</v>
      </c>
      <c r="C142" s="5" t="s">
        <v>43</v>
      </c>
      <c r="D142" s="5" t="s">
        <v>39</v>
      </c>
      <c r="E142" s="13">
        <v>20</v>
      </c>
      <c r="F142" s="14">
        <v>432.6</v>
      </c>
      <c r="G142" s="14">
        <v>22.7</v>
      </c>
      <c r="H142" s="13">
        <v>7</v>
      </c>
    </row>
    <row r="143" spans="1:8" x14ac:dyDescent="0.3">
      <c r="A143" s="8">
        <v>9</v>
      </c>
      <c r="B143" s="8" t="s">
        <v>46</v>
      </c>
      <c r="C143" s="9" t="s">
        <v>43</v>
      </c>
      <c r="D143" s="9" t="s">
        <v>40</v>
      </c>
      <c r="E143" s="10">
        <v>90</v>
      </c>
      <c r="F143" s="11">
        <v>125.9</v>
      </c>
      <c r="G143" s="11">
        <v>13.6</v>
      </c>
      <c r="H143" s="10">
        <v>31</v>
      </c>
    </row>
    <row r="144" spans="1:8" x14ac:dyDescent="0.3">
      <c r="A144" s="12">
        <v>9</v>
      </c>
      <c r="B144" s="12" t="s">
        <v>46</v>
      </c>
      <c r="C144" s="5" t="s">
        <v>43</v>
      </c>
      <c r="D144" s="5" t="s">
        <v>41</v>
      </c>
      <c r="E144" s="13">
        <v>33</v>
      </c>
      <c r="F144" s="14">
        <v>189.9</v>
      </c>
      <c r="G144" s="14">
        <v>19.600000000000001</v>
      </c>
      <c r="H144" s="13">
        <v>10</v>
      </c>
    </row>
    <row r="145" spans="1:8" x14ac:dyDescent="0.3">
      <c r="A145" s="8">
        <v>9</v>
      </c>
      <c r="B145" s="8" t="s">
        <v>46</v>
      </c>
      <c r="C145" s="9" t="s">
        <v>44</v>
      </c>
      <c r="D145" s="9" t="s">
        <v>38</v>
      </c>
      <c r="E145" s="10">
        <v>30</v>
      </c>
      <c r="F145" s="11">
        <v>361.9</v>
      </c>
      <c r="G145" s="11">
        <v>24.3</v>
      </c>
      <c r="H145" s="10">
        <v>9</v>
      </c>
    </row>
    <row r="146" spans="1:8" x14ac:dyDescent="0.3">
      <c r="A146" s="12">
        <v>9</v>
      </c>
      <c r="B146" s="12" t="s">
        <v>46</v>
      </c>
      <c r="C146" s="5" t="s">
        <v>44</v>
      </c>
      <c r="D146" s="5" t="s">
        <v>39</v>
      </c>
      <c r="E146" s="13">
        <v>14</v>
      </c>
      <c r="F146" s="14">
        <v>324.3</v>
      </c>
      <c r="G146" s="14">
        <v>21.3</v>
      </c>
      <c r="H146" s="13">
        <v>6</v>
      </c>
    </row>
    <row r="147" spans="1:8" x14ac:dyDescent="0.3">
      <c r="A147" s="8">
        <v>9</v>
      </c>
      <c r="B147" s="8" t="s">
        <v>46</v>
      </c>
      <c r="C147" s="9" t="s">
        <v>44</v>
      </c>
      <c r="D147" s="9" t="s">
        <v>40</v>
      </c>
      <c r="E147" s="10">
        <v>73</v>
      </c>
      <c r="F147" s="11">
        <v>104.6</v>
      </c>
      <c r="G147" s="11">
        <v>11.5</v>
      </c>
      <c r="H147" s="10">
        <v>23</v>
      </c>
    </row>
    <row r="148" spans="1:8" x14ac:dyDescent="0.3">
      <c r="A148" s="12">
        <v>9</v>
      </c>
      <c r="B148" s="12" t="s">
        <v>46</v>
      </c>
      <c r="C148" s="5" t="s">
        <v>44</v>
      </c>
      <c r="D148" s="5" t="s">
        <v>41</v>
      </c>
      <c r="E148" s="13">
        <v>26</v>
      </c>
      <c r="F148" s="14">
        <v>160.4</v>
      </c>
      <c r="G148" s="14">
        <v>16.5</v>
      </c>
      <c r="H148" s="13">
        <v>10</v>
      </c>
    </row>
    <row r="149" spans="1:8" x14ac:dyDescent="0.3">
      <c r="A149" s="8">
        <v>10</v>
      </c>
      <c r="B149" s="8" t="s">
        <v>47</v>
      </c>
      <c r="C149" s="9" t="s">
        <v>37</v>
      </c>
      <c r="D149" s="9" t="s">
        <v>38</v>
      </c>
      <c r="E149" s="10">
        <v>81</v>
      </c>
      <c r="F149" s="11">
        <v>984</v>
      </c>
      <c r="G149" s="11">
        <v>68.5</v>
      </c>
      <c r="H149" s="10">
        <v>29</v>
      </c>
    </row>
    <row r="150" spans="1:8" x14ac:dyDescent="0.3">
      <c r="A150" s="12">
        <v>10</v>
      </c>
      <c r="B150" s="12" t="s">
        <v>47</v>
      </c>
      <c r="C150" s="5" t="s">
        <v>37</v>
      </c>
      <c r="D150" s="5" t="s">
        <v>39</v>
      </c>
      <c r="E150" s="13">
        <v>36</v>
      </c>
      <c r="F150" s="14">
        <v>748.2</v>
      </c>
      <c r="G150" s="14">
        <v>49.6</v>
      </c>
      <c r="H150" s="13">
        <v>9</v>
      </c>
    </row>
    <row r="151" spans="1:8" x14ac:dyDescent="0.3">
      <c r="A151" s="8">
        <v>10</v>
      </c>
      <c r="B151" s="8" t="s">
        <v>47</v>
      </c>
      <c r="C151" s="9" t="s">
        <v>37</v>
      </c>
      <c r="D151" s="9" t="s">
        <v>40</v>
      </c>
      <c r="E151" s="10">
        <v>194</v>
      </c>
      <c r="F151" s="11">
        <v>292.7</v>
      </c>
      <c r="G151" s="11">
        <v>27</v>
      </c>
      <c r="H151" s="10">
        <v>66</v>
      </c>
    </row>
    <row r="152" spans="1:8" x14ac:dyDescent="0.3">
      <c r="A152" s="12">
        <v>10</v>
      </c>
      <c r="B152" s="12" t="s">
        <v>47</v>
      </c>
      <c r="C152" s="5" t="s">
        <v>37</v>
      </c>
      <c r="D152" s="5" t="s">
        <v>41</v>
      </c>
      <c r="E152" s="13">
        <v>70</v>
      </c>
      <c r="F152" s="14">
        <v>390.5</v>
      </c>
      <c r="G152" s="14">
        <v>30.2</v>
      </c>
      <c r="H152" s="13">
        <v>19</v>
      </c>
    </row>
    <row r="153" spans="1:8" x14ac:dyDescent="0.3">
      <c r="A153" s="8">
        <v>10</v>
      </c>
      <c r="B153" s="8" t="s">
        <v>47</v>
      </c>
      <c r="C153" s="9" t="s">
        <v>42</v>
      </c>
      <c r="D153" s="9" t="s">
        <v>38</v>
      </c>
      <c r="E153" s="10">
        <v>62</v>
      </c>
      <c r="F153" s="11">
        <v>771.5</v>
      </c>
      <c r="G153" s="11">
        <v>58.8</v>
      </c>
      <c r="H153" s="10">
        <v>24</v>
      </c>
    </row>
    <row r="154" spans="1:8" x14ac:dyDescent="0.3">
      <c r="A154" s="12">
        <v>10</v>
      </c>
      <c r="B154" s="12" t="s">
        <v>47</v>
      </c>
      <c r="C154" s="5" t="s">
        <v>42</v>
      </c>
      <c r="D154" s="5" t="s">
        <v>39</v>
      </c>
      <c r="E154" s="13">
        <v>29</v>
      </c>
      <c r="F154" s="14">
        <v>705.9</v>
      </c>
      <c r="G154" s="14">
        <v>39.5</v>
      </c>
      <c r="H154" s="13">
        <v>11</v>
      </c>
    </row>
    <row r="155" spans="1:8" x14ac:dyDescent="0.3">
      <c r="A155" s="8">
        <v>10</v>
      </c>
      <c r="B155" s="8" t="s">
        <v>47</v>
      </c>
      <c r="C155" s="9" t="s">
        <v>42</v>
      </c>
      <c r="D155" s="9" t="s">
        <v>40</v>
      </c>
      <c r="E155" s="10">
        <v>136</v>
      </c>
      <c r="F155" s="11">
        <v>205.2</v>
      </c>
      <c r="G155" s="11">
        <v>21.9</v>
      </c>
      <c r="H155" s="10">
        <v>49</v>
      </c>
    </row>
    <row r="156" spans="1:8" x14ac:dyDescent="0.3">
      <c r="A156" s="12">
        <v>10</v>
      </c>
      <c r="B156" s="12" t="s">
        <v>47</v>
      </c>
      <c r="C156" s="5" t="s">
        <v>42</v>
      </c>
      <c r="D156" s="5" t="s">
        <v>41</v>
      </c>
      <c r="E156" s="13">
        <v>59</v>
      </c>
      <c r="F156" s="14">
        <v>357.5</v>
      </c>
      <c r="G156" s="14">
        <v>33.6</v>
      </c>
      <c r="H156" s="13">
        <v>22</v>
      </c>
    </row>
    <row r="157" spans="1:8" x14ac:dyDescent="0.3">
      <c r="A157" s="8">
        <v>10</v>
      </c>
      <c r="B157" s="8" t="s">
        <v>47</v>
      </c>
      <c r="C157" s="9" t="s">
        <v>43</v>
      </c>
      <c r="D157" s="9" t="s">
        <v>38</v>
      </c>
      <c r="E157" s="10">
        <v>42</v>
      </c>
      <c r="F157" s="11">
        <v>483.9</v>
      </c>
      <c r="G157" s="11">
        <v>31</v>
      </c>
      <c r="H157" s="10">
        <v>12</v>
      </c>
    </row>
    <row r="158" spans="1:8" x14ac:dyDescent="0.3">
      <c r="A158" s="12">
        <v>10</v>
      </c>
      <c r="B158" s="12" t="s">
        <v>47</v>
      </c>
      <c r="C158" s="5" t="s">
        <v>43</v>
      </c>
      <c r="D158" s="5" t="s">
        <v>39</v>
      </c>
      <c r="E158" s="13">
        <v>20</v>
      </c>
      <c r="F158" s="14">
        <v>444.2</v>
      </c>
      <c r="G158" s="14">
        <v>26.4</v>
      </c>
      <c r="H158" s="13">
        <v>6</v>
      </c>
    </row>
    <row r="159" spans="1:8" x14ac:dyDescent="0.3">
      <c r="A159" s="8">
        <v>10</v>
      </c>
      <c r="B159" s="8" t="s">
        <v>47</v>
      </c>
      <c r="C159" s="9" t="s">
        <v>43</v>
      </c>
      <c r="D159" s="9" t="s">
        <v>40</v>
      </c>
      <c r="E159" s="10">
        <v>108</v>
      </c>
      <c r="F159" s="11">
        <v>156.19999999999999</v>
      </c>
      <c r="G159" s="11">
        <v>14.8</v>
      </c>
      <c r="H159" s="10">
        <v>31</v>
      </c>
    </row>
    <row r="160" spans="1:8" x14ac:dyDescent="0.3">
      <c r="A160" s="12">
        <v>10</v>
      </c>
      <c r="B160" s="12" t="s">
        <v>47</v>
      </c>
      <c r="C160" s="5" t="s">
        <v>43</v>
      </c>
      <c r="D160" s="5" t="s">
        <v>41</v>
      </c>
      <c r="E160" s="13">
        <v>33</v>
      </c>
      <c r="F160" s="14">
        <v>208</v>
      </c>
      <c r="G160" s="14">
        <v>16.600000000000001</v>
      </c>
      <c r="H160" s="13">
        <v>9</v>
      </c>
    </row>
    <row r="161" spans="1:8" x14ac:dyDescent="0.3">
      <c r="A161" s="8">
        <v>10</v>
      </c>
      <c r="B161" s="8" t="s">
        <v>47</v>
      </c>
      <c r="C161" s="9" t="s">
        <v>44</v>
      </c>
      <c r="D161" s="9" t="s">
        <v>38</v>
      </c>
      <c r="E161" s="10">
        <v>31</v>
      </c>
      <c r="F161" s="11">
        <v>393.4</v>
      </c>
      <c r="G161" s="11">
        <v>29.7</v>
      </c>
      <c r="H161" s="10">
        <v>9</v>
      </c>
    </row>
    <row r="162" spans="1:8" x14ac:dyDescent="0.3">
      <c r="A162" s="12">
        <v>10</v>
      </c>
      <c r="B162" s="12" t="s">
        <v>47</v>
      </c>
      <c r="C162" s="5" t="s">
        <v>44</v>
      </c>
      <c r="D162" s="5" t="s">
        <v>39</v>
      </c>
      <c r="E162" s="13">
        <v>16</v>
      </c>
      <c r="F162" s="14">
        <v>315.7</v>
      </c>
      <c r="G162" s="14">
        <v>20.2</v>
      </c>
      <c r="H162" s="13">
        <v>5</v>
      </c>
    </row>
    <row r="163" spans="1:8" x14ac:dyDescent="0.3">
      <c r="A163" s="8">
        <v>10</v>
      </c>
      <c r="B163" s="8" t="s">
        <v>47</v>
      </c>
      <c r="C163" s="9" t="s">
        <v>44</v>
      </c>
      <c r="D163" s="9" t="s">
        <v>40</v>
      </c>
      <c r="E163" s="10">
        <v>64</v>
      </c>
      <c r="F163" s="11">
        <v>101.7</v>
      </c>
      <c r="G163" s="11">
        <v>9</v>
      </c>
      <c r="H163" s="10">
        <v>18</v>
      </c>
    </row>
    <row r="164" spans="1:8" x14ac:dyDescent="0.3">
      <c r="A164" s="12">
        <v>10</v>
      </c>
      <c r="B164" s="12" t="s">
        <v>47</v>
      </c>
      <c r="C164" s="5" t="s">
        <v>44</v>
      </c>
      <c r="D164" s="5" t="s">
        <v>41</v>
      </c>
      <c r="E164" s="13">
        <v>25</v>
      </c>
      <c r="F164" s="14">
        <v>148.5</v>
      </c>
      <c r="G164" s="14">
        <v>11.4</v>
      </c>
      <c r="H164" s="13">
        <v>7</v>
      </c>
    </row>
    <row r="165" spans="1:8" x14ac:dyDescent="0.3">
      <c r="A165" s="8">
        <v>11</v>
      </c>
      <c r="B165" s="8" t="s">
        <v>47</v>
      </c>
      <c r="C165" s="9" t="s">
        <v>37</v>
      </c>
      <c r="D165" s="9" t="s">
        <v>38</v>
      </c>
      <c r="E165" s="10">
        <v>104</v>
      </c>
      <c r="F165" s="11">
        <v>1197.5999999999999</v>
      </c>
      <c r="G165" s="11">
        <v>85.2</v>
      </c>
      <c r="H165" s="10">
        <v>28</v>
      </c>
    </row>
    <row r="166" spans="1:8" x14ac:dyDescent="0.3">
      <c r="A166" s="12">
        <v>11</v>
      </c>
      <c r="B166" s="12" t="s">
        <v>47</v>
      </c>
      <c r="C166" s="5" t="s">
        <v>37</v>
      </c>
      <c r="D166" s="5" t="s">
        <v>39</v>
      </c>
      <c r="E166" s="13">
        <v>46</v>
      </c>
      <c r="F166" s="14">
        <v>950.9</v>
      </c>
      <c r="G166" s="14">
        <v>56.9</v>
      </c>
      <c r="H166" s="13">
        <v>15</v>
      </c>
    </row>
    <row r="167" spans="1:8" x14ac:dyDescent="0.3">
      <c r="A167" s="8">
        <v>11</v>
      </c>
      <c r="B167" s="8" t="s">
        <v>47</v>
      </c>
      <c r="C167" s="9" t="s">
        <v>37</v>
      </c>
      <c r="D167" s="9" t="s">
        <v>40</v>
      </c>
      <c r="E167" s="10">
        <v>183</v>
      </c>
      <c r="F167" s="11">
        <v>293.5</v>
      </c>
      <c r="G167" s="11">
        <v>28.8</v>
      </c>
      <c r="H167" s="10">
        <v>47</v>
      </c>
    </row>
    <row r="168" spans="1:8" x14ac:dyDescent="0.3">
      <c r="A168" s="12">
        <v>11</v>
      </c>
      <c r="B168" s="12" t="s">
        <v>47</v>
      </c>
      <c r="C168" s="5" t="s">
        <v>37</v>
      </c>
      <c r="D168" s="5" t="s">
        <v>41</v>
      </c>
      <c r="E168" s="13">
        <v>87</v>
      </c>
      <c r="F168" s="14">
        <v>490.5</v>
      </c>
      <c r="G168" s="14">
        <v>43.9</v>
      </c>
      <c r="H168" s="13">
        <v>27</v>
      </c>
    </row>
    <row r="169" spans="1:8" x14ac:dyDescent="0.3">
      <c r="A169" s="8">
        <v>11</v>
      </c>
      <c r="B169" s="8" t="s">
        <v>47</v>
      </c>
      <c r="C169" s="9" t="s">
        <v>42</v>
      </c>
      <c r="D169" s="9" t="s">
        <v>38</v>
      </c>
      <c r="E169" s="10">
        <v>62</v>
      </c>
      <c r="F169" s="11">
        <v>820.5</v>
      </c>
      <c r="G169" s="11">
        <v>59.7</v>
      </c>
      <c r="H169" s="10">
        <v>17</v>
      </c>
    </row>
    <row r="170" spans="1:8" x14ac:dyDescent="0.3">
      <c r="A170" s="12">
        <v>11</v>
      </c>
      <c r="B170" s="12" t="s">
        <v>47</v>
      </c>
      <c r="C170" s="5" t="s">
        <v>42</v>
      </c>
      <c r="D170" s="5" t="s">
        <v>39</v>
      </c>
      <c r="E170" s="13">
        <v>38</v>
      </c>
      <c r="F170" s="14">
        <v>753.8</v>
      </c>
      <c r="G170" s="14">
        <v>42.6</v>
      </c>
      <c r="H170" s="13">
        <v>10</v>
      </c>
    </row>
    <row r="171" spans="1:8" x14ac:dyDescent="0.3">
      <c r="A171" s="8">
        <v>11</v>
      </c>
      <c r="B171" s="8" t="s">
        <v>47</v>
      </c>
      <c r="C171" s="9" t="s">
        <v>42</v>
      </c>
      <c r="D171" s="9" t="s">
        <v>40</v>
      </c>
      <c r="E171" s="10">
        <v>189</v>
      </c>
      <c r="F171" s="11">
        <v>267.3</v>
      </c>
      <c r="G171" s="11">
        <v>27.6</v>
      </c>
      <c r="H171" s="10">
        <v>54</v>
      </c>
    </row>
    <row r="172" spans="1:8" x14ac:dyDescent="0.3">
      <c r="A172" s="12">
        <v>11</v>
      </c>
      <c r="B172" s="12" t="s">
        <v>47</v>
      </c>
      <c r="C172" s="5" t="s">
        <v>42</v>
      </c>
      <c r="D172" s="5" t="s">
        <v>41</v>
      </c>
      <c r="E172" s="13">
        <v>62</v>
      </c>
      <c r="F172" s="14">
        <v>379</v>
      </c>
      <c r="G172" s="14">
        <v>33.6</v>
      </c>
      <c r="H172" s="13">
        <v>23</v>
      </c>
    </row>
    <row r="173" spans="1:8" x14ac:dyDescent="0.3">
      <c r="A173" s="8">
        <v>11</v>
      </c>
      <c r="B173" s="8" t="s">
        <v>47</v>
      </c>
      <c r="C173" s="9" t="s">
        <v>43</v>
      </c>
      <c r="D173" s="9" t="s">
        <v>38</v>
      </c>
      <c r="E173" s="10">
        <v>56</v>
      </c>
      <c r="F173" s="11">
        <v>660.9</v>
      </c>
      <c r="G173" s="11">
        <v>43.6</v>
      </c>
      <c r="H173" s="10">
        <v>19</v>
      </c>
    </row>
    <row r="174" spans="1:8" x14ac:dyDescent="0.3">
      <c r="A174" s="12">
        <v>11</v>
      </c>
      <c r="B174" s="12" t="s">
        <v>47</v>
      </c>
      <c r="C174" s="5" t="s">
        <v>43</v>
      </c>
      <c r="D174" s="5" t="s">
        <v>39</v>
      </c>
      <c r="E174" s="13">
        <v>22</v>
      </c>
      <c r="F174" s="14">
        <v>508.2</v>
      </c>
      <c r="G174" s="14">
        <v>34.6</v>
      </c>
      <c r="H174" s="13">
        <v>6</v>
      </c>
    </row>
    <row r="175" spans="1:8" x14ac:dyDescent="0.3">
      <c r="A175" s="8">
        <v>11</v>
      </c>
      <c r="B175" s="8" t="s">
        <v>47</v>
      </c>
      <c r="C175" s="9" t="s">
        <v>43</v>
      </c>
      <c r="D175" s="9" t="s">
        <v>40</v>
      </c>
      <c r="E175" s="10">
        <v>105</v>
      </c>
      <c r="F175" s="11">
        <v>168.9</v>
      </c>
      <c r="G175" s="11">
        <v>15.2</v>
      </c>
      <c r="H175" s="10">
        <v>27</v>
      </c>
    </row>
    <row r="176" spans="1:8" x14ac:dyDescent="0.3">
      <c r="A176" s="12">
        <v>11</v>
      </c>
      <c r="B176" s="12" t="s">
        <v>47</v>
      </c>
      <c r="C176" s="5" t="s">
        <v>43</v>
      </c>
      <c r="D176" s="5" t="s">
        <v>41</v>
      </c>
      <c r="E176" s="13">
        <v>36</v>
      </c>
      <c r="F176" s="14">
        <v>214.8</v>
      </c>
      <c r="G176" s="14">
        <v>19</v>
      </c>
      <c r="H176" s="13">
        <v>11</v>
      </c>
    </row>
    <row r="177" spans="1:8" x14ac:dyDescent="0.3">
      <c r="A177" s="8">
        <v>11</v>
      </c>
      <c r="B177" s="8" t="s">
        <v>47</v>
      </c>
      <c r="C177" s="9" t="s">
        <v>44</v>
      </c>
      <c r="D177" s="9" t="s">
        <v>38</v>
      </c>
      <c r="E177" s="10">
        <v>35</v>
      </c>
      <c r="F177" s="11">
        <v>402.4</v>
      </c>
      <c r="G177" s="11">
        <v>29.9</v>
      </c>
      <c r="H177" s="10">
        <v>11</v>
      </c>
    </row>
    <row r="178" spans="1:8" x14ac:dyDescent="0.3">
      <c r="A178" s="12">
        <v>11</v>
      </c>
      <c r="B178" s="12" t="s">
        <v>47</v>
      </c>
      <c r="C178" s="5" t="s">
        <v>44</v>
      </c>
      <c r="D178" s="5" t="s">
        <v>39</v>
      </c>
      <c r="E178" s="13">
        <v>18</v>
      </c>
      <c r="F178" s="14">
        <v>365.2</v>
      </c>
      <c r="G178" s="14">
        <v>24.7</v>
      </c>
      <c r="H178" s="13">
        <v>6</v>
      </c>
    </row>
    <row r="179" spans="1:8" x14ac:dyDescent="0.3">
      <c r="A179" s="8">
        <v>11</v>
      </c>
      <c r="B179" s="8" t="s">
        <v>47</v>
      </c>
      <c r="C179" s="9" t="s">
        <v>44</v>
      </c>
      <c r="D179" s="9" t="s">
        <v>40</v>
      </c>
      <c r="E179" s="10">
        <v>81</v>
      </c>
      <c r="F179" s="11">
        <v>122.8</v>
      </c>
      <c r="G179" s="11">
        <v>13.9</v>
      </c>
      <c r="H179" s="10">
        <v>27</v>
      </c>
    </row>
    <row r="180" spans="1:8" x14ac:dyDescent="0.3">
      <c r="A180" s="12">
        <v>11</v>
      </c>
      <c r="B180" s="12" t="s">
        <v>47</v>
      </c>
      <c r="C180" s="5" t="s">
        <v>44</v>
      </c>
      <c r="D180" s="5" t="s">
        <v>41</v>
      </c>
      <c r="E180" s="13">
        <v>33</v>
      </c>
      <c r="F180" s="14">
        <v>183.7</v>
      </c>
      <c r="G180" s="14">
        <v>18.600000000000001</v>
      </c>
      <c r="H180" s="13">
        <v>9</v>
      </c>
    </row>
    <row r="181" spans="1:8" x14ac:dyDescent="0.3">
      <c r="A181" s="8">
        <v>12</v>
      </c>
      <c r="B181" s="8" t="s">
        <v>47</v>
      </c>
      <c r="C181" s="9" t="s">
        <v>37</v>
      </c>
      <c r="D181" s="9" t="s">
        <v>38</v>
      </c>
      <c r="E181" s="10">
        <v>98</v>
      </c>
      <c r="F181" s="11">
        <v>1124.5</v>
      </c>
      <c r="G181" s="11">
        <v>74.2</v>
      </c>
      <c r="H181" s="10">
        <v>33</v>
      </c>
    </row>
    <row r="182" spans="1:8" x14ac:dyDescent="0.3">
      <c r="A182" s="12">
        <v>12</v>
      </c>
      <c r="B182" s="12" t="s">
        <v>47</v>
      </c>
      <c r="C182" s="5" t="s">
        <v>37</v>
      </c>
      <c r="D182" s="5" t="s">
        <v>39</v>
      </c>
      <c r="E182" s="13">
        <v>44</v>
      </c>
      <c r="F182" s="14">
        <v>942.9</v>
      </c>
      <c r="G182" s="14">
        <v>50.2</v>
      </c>
      <c r="H182" s="13">
        <v>16</v>
      </c>
    </row>
    <row r="183" spans="1:8" x14ac:dyDescent="0.3">
      <c r="A183" s="8">
        <v>12</v>
      </c>
      <c r="B183" s="8" t="s">
        <v>47</v>
      </c>
      <c r="C183" s="9" t="s">
        <v>37</v>
      </c>
      <c r="D183" s="9" t="s">
        <v>40</v>
      </c>
      <c r="E183" s="10">
        <v>248</v>
      </c>
      <c r="F183" s="11">
        <v>371.9</v>
      </c>
      <c r="G183" s="11">
        <v>37.200000000000003</v>
      </c>
      <c r="H183" s="10">
        <v>65</v>
      </c>
    </row>
    <row r="184" spans="1:8" x14ac:dyDescent="0.3">
      <c r="A184" s="12">
        <v>12</v>
      </c>
      <c r="B184" s="12" t="s">
        <v>47</v>
      </c>
      <c r="C184" s="5" t="s">
        <v>37</v>
      </c>
      <c r="D184" s="5" t="s">
        <v>41</v>
      </c>
      <c r="E184" s="13">
        <v>72</v>
      </c>
      <c r="F184" s="14">
        <v>448.6</v>
      </c>
      <c r="G184" s="14">
        <v>39.6</v>
      </c>
      <c r="H184" s="13">
        <v>21</v>
      </c>
    </row>
    <row r="185" spans="1:8" x14ac:dyDescent="0.3">
      <c r="A185" s="8">
        <v>12</v>
      </c>
      <c r="B185" s="8" t="s">
        <v>47</v>
      </c>
      <c r="C185" s="9" t="s">
        <v>42</v>
      </c>
      <c r="D185" s="9" t="s">
        <v>38</v>
      </c>
      <c r="E185" s="10">
        <v>83</v>
      </c>
      <c r="F185" s="11">
        <v>937.3</v>
      </c>
      <c r="G185" s="11">
        <v>74.7</v>
      </c>
      <c r="H185" s="10">
        <v>28</v>
      </c>
    </row>
    <row r="186" spans="1:8" x14ac:dyDescent="0.3">
      <c r="A186" s="12">
        <v>12</v>
      </c>
      <c r="B186" s="12" t="s">
        <v>47</v>
      </c>
      <c r="C186" s="5" t="s">
        <v>42</v>
      </c>
      <c r="D186" s="5" t="s">
        <v>39</v>
      </c>
      <c r="E186" s="13">
        <v>44</v>
      </c>
      <c r="F186" s="14">
        <v>935.7</v>
      </c>
      <c r="G186" s="14">
        <v>64.599999999999994</v>
      </c>
      <c r="H186" s="13">
        <v>13</v>
      </c>
    </row>
    <row r="187" spans="1:8" x14ac:dyDescent="0.3">
      <c r="A187" s="8">
        <v>12</v>
      </c>
      <c r="B187" s="8" t="s">
        <v>47</v>
      </c>
      <c r="C187" s="9" t="s">
        <v>42</v>
      </c>
      <c r="D187" s="9" t="s">
        <v>40</v>
      </c>
      <c r="E187" s="10">
        <v>168</v>
      </c>
      <c r="F187" s="11">
        <v>254.2</v>
      </c>
      <c r="G187" s="11">
        <v>27.4</v>
      </c>
      <c r="H187" s="10">
        <v>58</v>
      </c>
    </row>
    <row r="188" spans="1:8" x14ac:dyDescent="0.3">
      <c r="A188" s="12">
        <v>12</v>
      </c>
      <c r="B188" s="12" t="s">
        <v>47</v>
      </c>
      <c r="C188" s="5" t="s">
        <v>42</v>
      </c>
      <c r="D188" s="5" t="s">
        <v>41</v>
      </c>
      <c r="E188" s="13">
        <v>80</v>
      </c>
      <c r="F188" s="14">
        <v>471.5</v>
      </c>
      <c r="G188" s="14">
        <v>38.4</v>
      </c>
      <c r="H188" s="13">
        <v>28</v>
      </c>
    </row>
    <row r="189" spans="1:8" x14ac:dyDescent="0.3">
      <c r="A189" s="8">
        <v>12</v>
      </c>
      <c r="B189" s="8" t="s">
        <v>47</v>
      </c>
      <c r="C189" s="9" t="s">
        <v>43</v>
      </c>
      <c r="D189" s="9" t="s">
        <v>38</v>
      </c>
      <c r="E189" s="10">
        <v>54</v>
      </c>
      <c r="F189" s="11">
        <v>671.1</v>
      </c>
      <c r="G189" s="11">
        <v>41.2</v>
      </c>
      <c r="H189" s="10">
        <v>16</v>
      </c>
    </row>
    <row r="190" spans="1:8" x14ac:dyDescent="0.3">
      <c r="A190" s="12">
        <v>12</v>
      </c>
      <c r="B190" s="12" t="s">
        <v>47</v>
      </c>
      <c r="C190" s="5" t="s">
        <v>43</v>
      </c>
      <c r="D190" s="5" t="s">
        <v>39</v>
      </c>
      <c r="E190" s="13">
        <v>25</v>
      </c>
      <c r="F190" s="14">
        <v>568.6</v>
      </c>
      <c r="G190" s="14">
        <v>37.799999999999997</v>
      </c>
      <c r="H190" s="13">
        <v>9</v>
      </c>
    </row>
    <row r="191" spans="1:8" x14ac:dyDescent="0.3">
      <c r="A191" s="8">
        <v>12</v>
      </c>
      <c r="B191" s="8" t="s">
        <v>47</v>
      </c>
      <c r="C191" s="9" t="s">
        <v>43</v>
      </c>
      <c r="D191" s="9" t="s">
        <v>40</v>
      </c>
      <c r="E191" s="10">
        <v>124</v>
      </c>
      <c r="F191" s="11">
        <v>175.5</v>
      </c>
      <c r="G191" s="11">
        <v>19.899999999999999</v>
      </c>
      <c r="H191" s="10">
        <v>41</v>
      </c>
    </row>
    <row r="192" spans="1:8" x14ac:dyDescent="0.3">
      <c r="A192" s="12">
        <v>12</v>
      </c>
      <c r="B192" s="12" t="s">
        <v>47</v>
      </c>
      <c r="C192" s="5" t="s">
        <v>43</v>
      </c>
      <c r="D192" s="5" t="s">
        <v>41</v>
      </c>
      <c r="E192" s="13">
        <v>44</v>
      </c>
      <c r="F192" s="14">
        <v>274.39999999999998</v>
      </c>
      <c r="G192" s="14">
        <v>23.3</v>
      </c>
      <c r="H192" s="13">
        <v>17</v>
      </c>
    </row>
    <row r="193" spans="1:8" x14ac:dyDescent="0.3">
      <c r="A193" s="8">
        <v>12</v>
      </c>
      <c r="B193" s="8" t="s">
        <v>47</v>
      </c>
      <c r="C193" s="9" t="s">
        <v>44</v>
      </c>
      <c r="D193" s="9" t="s">
        <v>38</v>
      </c>
      <c r="E193" s="10">
        <v>44</v>
      </c>
      <c r="F193" s="11">
        <v>477.8</v>
      </c>
      <c r="G193" s="11">
        <v>33.6</v>
      </c>
      <c r="H193" s="10">
        <v>15</v>
      </c>
    </row>
    <row r="194" spans="1:8" x14ac:dyDescent="0.3">
      <c r="A194" s="12">
        <v>12</v>
      </c>
      <c r="B194" s="12" t="s">
        <v>47</v>
      </c>
      <c r="C194" s="5" t="s">
        <v>44</v>
      </c>
      <c r="D194" s="5" t="s">
        <v>39</v>
      </c>
      <c r="E194" s="13">
        <v>17</v>
      </c>
      <c r="F194" s="14">
        <v>401.4</v>
      </c>
      <c r="G194" s="14">
        <v>23.5</v>
      </c>
      <c r="H194" s="13">
        <v>5</v>
      </c>
    </row>
    <row r="195" spans="1:8" x14ac:dyDescent="0.3">
      <c r="A195" s="8">
        <v>12</v>
      </c>
      <c r="B195" s="8" t="s">
        <v>47</v>
      </c>
      <c r="C195" s="9" t="s">
        <v>44</v>
      </c>
      <c r="D195" s="9" t="s">
        <v>40</v>
      </c>
      <c r="E195" s="10">
        <v>100</v>
      </c>
      <c r="F195" s="11">
        <v>142.80000000000001</v>
      </c>
      <c r="G195" s="11">
        <v>14.8</v>
      </c>
      <c r="H195" s="10">
        <v>28</v>
      </c>
    </row>
    <row r="196" spans="1:8" x14ac:dyDescent="0.3">
      <c r="A196" s="12">
        <v>12</v>
      </c>
      <c r="B196" s="12" t="s">
        <v>47</v>
      </c>
      <c r="C196" s="5" t="s">
        <v>44</v>
      </c>
      <c r="D196" s="5" t="s">
        <v>41</v>
      </c>
      <c r="E196" s="13">
        <v>34</v>
      </c>
      <c r="F196" s="14">
        <v>204.1</v>
      </c>
      <c r="G196" s="14">
        <v>20.7</v>
      </c>
      <c r="H196" s="13">
        <v>12</v>
      </c>
    </row>
  </sheetData>
  <mergeCells count="2">
    <mergeCell ref="A1:H1"/>
    <mergeCell ref="A2:H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C5E18-57F6-4B3F-A4F6-4B98D280B03E}">
  <dimension ref="A3:B16"/>
  <sheetViews>
    <sheetView workbookViewId="0">
      <selection activeCell="D2" sqref="D2"/>
    </sheetView>
  </sheetViews>
  <sheetFormatPr defaultRowHeight="14.4" x14ac:dyDescent="0.3"/>
  <cols>
    <col min="1" max="1" width="12.5546875" bestFit="1" customWidth="1"/>
    <col min="2" max="3" width="20.77734375" bestFit="1" customWidth="1"/>
    <col min="4" max="7" width="4.5546875" bestFit="1" customWidth="1"/>
    <col min="8" max="189" width="5.5546875" bestFit="1" customWidth="1"/>
    <col min="190" max="192" width="7.109375" bestFit="1" customWidth="1"/>
    <col min="193" max="193" width="10.77734375" bestFit="1" customWidth="1"/>
  </cols>
  <sheetData>
    <row r="3" spans="1:2" x14ac:dyDescent="0.3">
      <c r="A3" s="26" t="s">
        <v>114</v>
      </c>
      <c r="B3" s="27" t="s">
        <v>117</v>
      </c>
    </row>
    <row r="4" spans="1:2" x14ac:dyDescent="0.3">
      <c r="A4" s="27">
        <v>1</v>
      </c>
      <c r="B4" s="28">
        <v>7390.8000000000011</v>
      </c>
    </row>
    <row r="5" spans="1:2" x14ac:dyDescent="0.3">
      <c r="A5" s="27">
        <v>2</v>
      </c>
      <c r="B5" s="28">
        <v>6307.8000000000011</v>
      </c>
    </row>
    <row r="6" spans="1:2" x14ac:dyDescent="0.3">
      <c r="A6" s="27">
        <v>3</v>
      </c>
      <c r="B6" s="28">
        <v>5436.7</v>
      </c>
    </row>
    <row r="7" spans="1:2" x14ac:dyDescent="0.3">
      <c r="A7" s="27">
        <v>4</v>
      </c>
      <c r="B7" s="28">
        <v>5128.9999999999991</v>
      </c>
    </row>
    <row r="8" spans="1:2" x14ac:dyDescent="0.3">
      <c r="A8" s="27">
        <v>5</v>
      </c>
      <c r="B8" s="28">
        <v>5275.5000000000009</v>
      </c>
    </row>
    <row r="9" spans="1:2" x14ac:dyDescent="0.3">
      <c r="A9" s="27">
        <v>6</v>
      </c>
      <c r="B9" s="28">
        <v>5744.9999999999991</v>
      </c>
    </row>
    <row r="10" spans="1:2" x14ac:dyDescent="0.3">
      <c r="A10" s="27">
        <v>7</v>
      </c>
      <c r="B10" s="28">
        <v>6038.8</v>
      </c>
    </row>
    <row r="11" spans="1:2" x14ac:dyDescent="0.3">
      <c r="A11" s="27">
        <v>8</v>
      </c>
      <c r="B11" s="28">
        <v>6144.2000000000007</v>
      </c>
    </row>
    <row r="12" spans="1:2" x14ac:dyDescent="0.3">
      <c r="A12" s="27">
        <v>9</v>
      </c>
      <c r="B12" s="28">
        <v>6425.7999999999993</v>
      </c>
    </row>
    <row r="13" spans="1:2" x14ac:dyDescent="0.3">
      <c r="A13" s="27">
        <v>10</v>
      </c>
      <c r="B13" s="28">
        <v>6707.0999999999985</v>
      </c>
    </row>
    <row r="14" spans="1:2" x14ac:dyDescent="0.3">
      <c r="A14" s="27">
        <v>11</v>
      </c>
      <c r="B14" s="28">
        <v>7779.9999999999991</v>
      </c>
    </row>
    <row r="15" spans="1:2" x14ac:dyDescent="0.3">
      <c r="A15" s="27">
        <v>12</v>
      </c>
      <c r="B15" s="28">
        <v>8402.2999999999993</v>
      </c>
    </row>
    <row r="16" spans="1:2" x14ac:dyDescent="0.3">
      <c r="A16" s="27" t="s">
        <v>115</v>
      </c>
      <c r="B16" s="28">
        <v>76783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65CAB-0778-4B9C-992C-1181A4F411E6}">
  <dimension ref="A3:B8"/>
  <sheetViews>
    <sheetView workbookViewId="0"/>
  </sheetViews>
  <sheetFormatPr defaultRowHeight="14.4" x14ac:dyDescent="0.3"/>
  <cols>
    <col min="1" max="1" width="12.5546875" bestFit="1" customWidth="1"/>
    <col min="2" max="2" width="20.77734375" bestFit="1" customWidth="1"/>
  </cols>
  <sheetData>
    <row r="3" spans="1:2" x14ac:dyDescent="0.3">
      <c r="A3" s="26" t="s">
        <v>114</v>
      </c>
      <c r="B3" s="27" t="s">
        <v>117</v>
      </c>
    </row>
    <row r="4" spans="1:2" x14ac:dyDescent="0.3">
      <c r="A4" s="27" t="s">
        <v>44</v>
      </c>
      <c r="B4" s="28">
        <v>10789.6</v>
      </c>
    </row>
    <row r="5" spans="1:2" x14ac:dyDescent="0.3">
      <c r="A5" s="27" t="s">
        <v>43</v>
      </c>
      <c r="B5" s="28">
        <v>15084.2</v>
      </c>
    </row>
    <row r="6" spans="1:2" x14ac:dyDescent="0.3">
      <c r="A6" s="27" t="s">
        <v>42</v>
      </c>
      <c r="B6" s="28">
        <v>23126.600000000002</v>
      </c>
    </row>
    <row r="7" spans="1:2" x14ac:dyDescent="0.3">
      <c r="A7" s="27" t="s">
        <v>37</v>
      </c>
      <c r="B7" s="28">
        <v>27782.600000000006</v>
      </c>
    </row>
    <row r="8" spans="1:2" x14ac:dyDescent="0.3">
      <c r="A8" s="27" t="s">
        <v>115</v>
      </c>
      <c r="B8" s="28">
        <v>76783.000000000015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7772F-AC99-4E02-A3A4-5A0574DFD5F7}">
  <dimension ref="A3:B8"/>
  <sheetViews>
    <sheetView workbookViewId="0">
      <selection activeCell="B20" sqref="B20"/>
    </sheetView>
  </sheetViews>
  <sheetFormatPr defaultRowHeight="14.4" x14ac:dyDescent="0.3"/>
  <cols>
    <col min="1" max="1" width="14.77734375" bestFit="1" customWidth="1"/>
    <col min="2" max="2" width="20.77734375" bestFit="1" customWidth="1"/>
  </cols>
  <sheetData>
    <row r="3" spans="1:2" x14ac:dyDescent="0.3">
      <c r="A3" s="26" t="s">
        <v>114</v>
      </c>
      <c r="B3" s="27" t="s">
        <v>117</v>
      </c>
    </row>
    <row r="4" spans="1:2" x14ac:dyDescent="0.3">
      <c r="A4" s="27" t="s">
        <v>38</v>
      </c>
      <c r="B4" s="28">
        <v>30237.100000000006</v>
      </c>
    </row>
    <row r="5" spans="1:2" x14ac:dyDescent="0.3">
      <c r="A5" s="27" t="s">
        <v>41</v>
      </c>
      <c r="B5" s="28">
        <v>12713.9</v>
      </c>
    </row>
    <row r="6" spans="1:2" x14ac:dyDescent="0.3">
      <c r="A6" s="27" t="s">
        <v>39</v>
      </c>
      <c r="B6" s="28">
        <v>25323.300000000003</v>
      </c>
    </row>
    <row r="7" spans="1:2" x14ac:dyDescent="0.3">
      <c r="A7" s="27" t="s">
        <v>40</v>
      </c>
      <c r="B7" s="28">
        <v>8508.6999999999989</v>
      </c>
    </row>
    <row r="8" spans="1:2" x14ac:dyDescent="0.3">
      <c r="A8" s="27" t="s">
        <v>115</v>
      </c>
      <c r="B8" s="28">
        <v>76783.000000000015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EDB9C-BC63-4045-9DA1-516CFFA193C4}">
  <dimension ref="A3:F9"/>
  <sheetViews>
    <sheetView tabSelected="1" workbookViewId="0">
      <selection activeCell="A6" sqref="A6"/>
    </sheetView>
  </sheetViews>
  <sheetFormatPr defaultRowHeight="14.4" x14ac:dyDescent="0.3"/>
  <cols>
    <col min="1" max="1" width="20.77734375" bestFit="1" customWidth="1"/>
    <col min="2" max="2" width="15.5546875" bestFit="1" customWidth="1"/>
    <col min="3" max="3" width="8.21875" bestFit="1" customWidth="1"/>
    <col min="4" max="5" width="8" bestFit="1" customWidth="1"/>
    <col min="6" max="6" width="10.77734375" bestFit="1" customWidth="1"/>
  </cols>
  <sheetData>
    <row r="3" spans="1:6" x14ac:dyDescent="0.3">
      <c r="A3" s="24" t="s">
        <v>117</v>
      </c>
      <c r="B3" s="24" t="s">
        <v>116</v>
      </c>
    </row>
    <row r="4" spans="1:6" x14ac:dyDescent="0.3">
      <c r="A4" s="24" t="s">
        <v>114</v>
      </c>
      <c r="B4" t="s">
        <v>44</v>
      </c>
      <c r="C4" t="s">
        <v>43</v>
      </c>
      <c r="D4" t="s">
        <v>42</v>
      </c>
      <c r="E4" t="s">
        <v>37</v>
      </c>
      <c r="F4" t="s">
        <v>115</v>
      </c>
    </row>
    <row r="5" spans="1:6" x14ac:dyDescent="0.3">
      <c r="A5" s="25" t="s">
        <v>36</v>
      </c>
      <c r="B5" s="23">
        <v>2661.4</v>
      </c>
      <c r="C5" s="23">
        <v>3728.9000000000005</v>
      </c>
      <c r="D5" s="23">
        <v>5740.4</v>
      </c>
      <c r="E5" s="23">
        <v>7004.5999999999995</v>
      </c>
      <c r="F5" s="23">
        <v>19135.3</v>
      </c>
    </row>
    <row r="6" spans="1:6" x14ac:dyDescent="0.3">
      <c r="A6" s="25" t="s">
        <v>45</v>
      </c>
      <c r="B6" s="23">
        <v>2245.1000000000004</v>
      </c>
      <c r="C6" s="23">
        <v>3224.7</v>
      </c>
      <c r="D6" s="23">
        <v>4888.3</v>
      </c>
      <c r="E6" s="23">
        <v>5791.4000000000005</v>
      </c>
      <c r="F6" s="23">
        <v>16149.5</v>
      </c>
    </row>
    <row r="7" spans="1:6" x14ac:dyDescent="0.3">
      <c r="A7" s="25" t="s">
        <v>46</v>
      </c>
      <c r="B7" s="23">
        <v>2623.6</v>
      </c>
      <c r="C7" s="23">
        <v>3595.8999999999996</v>
      </c>
      <c r="D7" s="23">
        <v>5638.5</v>
      </c>
      <c r="E7" s="23">
        <v>6750.8</v>
      </c>
      <c r="F7" s="23">
        <v>18608.8</v>
      </c>
    </row>
    <row r="8" spans="1:6" x14ac:dyDescent="0.3">
      <c r="A8" s="25" t="s">
        <v>47</v>
      </c>
      <c r="B8" s="23">
        <v>3259.5</v>
      </c>
      <c r="C8" s="23">
        <v>4534.6999999999989</v>
      </c>
      <c r="D8" s="23">
        <v>6859.4000000000005</v>
      </c>
      <c r="E8" s="23">
        <v>8235.7999999999993</v>
      </c>
      <c r="F8" s="23">
        <v>22889.399999999998</v>
      </c>
    </row>
    <row r="9" spans="1:6" x14ac:dyDescent="0.3">
      <c r="A9" s="25" t="s">
        <v>115</v>
      </c>
      <c r="B9" s="23">
        <v>10789.6</v>
      </c>
      <c r="C9" s="23">
        <v>15084.199999999999</v>
      </c>
      <c r="D9" s="23">
        <v>23126.600000000002</v>
      </c>
      <c r="E9" s="23">
        <v>27782.6</v>
      </c>
      <c r="F9" s="23">
        <v>76783</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8EA79-CE50-4088-8BB2-AA8D02FF4D76}">
  <dimension ref="A3:C16"/>
  <sheetViews>
    <sheetView topLeftCell="F7" workbookViewId="0"/>
  </sheetViews>
  <sheetFormatPr defaultRowHeight="14.4" x14ac:dyDescent="0.3"/>
  <cols>
    <col min="1" max="1" width="12.5546875" bestFit="1" customWidth="1"/>
    <col min="2" max="2" width="20.77734375" bestFit="1" customWidth="1"/>
    <col min="3" max="3" width="18.33203125" bestFit="1" customWidth="1"/>
  </cols>
  <sheetData>
    <row r="3" spans="1:3" x14ac:dyDescent="0.3">
      <c r="A3" s="26" t="s">
        <v>114</v>
      </c>
      <c r="B3" s="27" t="s">
        <v>117</v>
      </c>
      <c r="C3" s="27" t="s">
        <v>128</v>
      </c>
    </row>
    <row r="4" spans="1:3" x14ac:dyDescent="0.3">
      <c r="A4" s="27">
        <v>1</v>
      </c>
      <c r="B4" s="28">
        <v>7390.8000000000011</v>
      </c>
      <c r="C4" s="28">
        <v>1070</v>
      </c>
    </row>
    <row r="5" spans="1:3" x14ac:dyDescent="0.3">
      <c r="A5" s="27">
        <v>2</v>
      </c>
      <c r="B5" s="28">
        <v>6307.8000000000011</v>
      </c>
      <c r="C5" s="28">
        <v>933</v>
      </c>
    </row>
    <row r="6" spans="1:3" x14ac:dyDescent="0.3">
      <c r="A6" s="27">
        <v>3</v>
      </c>
      <c r="B6" s="28">
        <v>5436.7</v>
      </c>
      <c r="C6" s="28">
        <v>786</v>
      </c>
    </row>
    <row r="7" spans="1:3" x14ac:dyDescent="0.3">
      <c r="A7" s="27">
        <v>4</v>
      </c>
      <c r="B7" s="28">
        <v>5128.9999999999991</v>
      </c>
      <c r="C7" s="28">
        <v>792</v>
      </c>
    </row>
    <row r="8" spans="1:3" x14ac:dyDescent="0.3">
      <c r="A8" s="27">
        <v>5</v>
      </c>
      <c r="B8" s="28">
        <v>5275.5000000000009</v>
      </c>
      <c r="C8" s="28">
        <v>797</v>
      </c>
    </row>
    <row r="9" spans="1:3" x14ac:dyDescent="0.3">
      <c r="A9" s="27">
        <v>6</v>
      </c>
      <c r="B9" s="28">
        <v>5744.9999999999991</v>
      </c>
      <c r="C9" s="28">
        <v>892</v>
      </c>
    </row>
    <row r="10" spans="1:3" x14ac:dyDescent="0.3">
      <c r="A10" s="27">
        <v>7</v>
      </c>
      <c r="B10" s="28">
        <v>6038.8</v>
      </c>
      <c r="C10" s="28">
        <v>888</v>
      </c>
    </row>
    <row r="11" spans="1:3" x14ac:dyDescent="0.3">
      <c r="A11" s="27">
        <v>8</v>
      </c>
      <c r="B11" s="28">
        <v>6144.2000000000007</v>
      </c>
      <c r="C11" s="28">
        <v>893</v>
      </c>
    </row>
    <row r="12" spans="1:3" x14ac:dyDescent="0.3">
      <c r="A12" s="27">
        <v>9</v>
      </c>
      <c r="B12" s="28">
        <v>6425.7999999999993</v>
      </c>
      <c r="C12" s="28">
        <v>987</v>
      </c>
    </row>
    <row r="13" spans="1:3" x14ac:dyDescent="0.3">
      <c r="A13" s="27">
        <v>10</v>
      </c>
      <c r="B13" s="28">
        <v>6707.0999999999985</v>
      </c>
      <c r="C13" s="28">
        <v>1006</v>
      </c>
    </row>
    <row r="14" spans="1:3" x14ac:dyDescent="0.3">
      <c r="A14" s="27">
        <v>11</v>
      </c>
      <c r="B14" s="28">
        <v>7779.9999999999991</v>
      </c>
      <c r="C14" s="28">
        <v>1157</v>
      </c>
    </row>
    <row r="15" spans="1:3" x14ac:dyDescent="0.3">
      <c r="A15" s="27">
        <v>12</v>
      </c>
      <c r="B15" s="28">
        <v>8402.2999999999993</v>
      </c>
      <c r="C15" s="28">
        <v>1279</v>
      </c>
    </row>
    <row r="16" spans="1:3" x14ac:dyDescent="0.3">
      <c r="A16" s="27" t="s">
        <v>115</v>
      </c>
      <c r="B16" s="28">
        <v>76783</v>
      </c>
      <c r="C16" s="28">
        <v>11480</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4</vt:i4>
      </vt:variant>
    </vt:vector>
  </HeadingPairs>
  <TitlesOfParts>
    <vt:vector size="14" baseType="lpstr">
      <vt:lpstr>Hướng Dẫn</vt:lpstr>
      <vt:lpstr>Câu hỏi</vt:lpstr>
      <vt:lpstr>Câu hỏi 8</vt:lpstr>
      <vt:lpstr>Sheet11</vt:lpstr>
      <vt:lpstr>data</vt:lpstr>
      <vt:lpstr>Câu hỏi 1</vt:lpstr>
      <vt:lpstr>Câu hỏi 2</vt:lpstr>
      <vt:lpstr>Câu hỏi 3</vt:lpstr>
      <vt:lpstr>Câu hỏi 4</vt:lpstr>
      <vt:lpstr>Câu hỏi 7</vt:lpstr>
      <vt:lpstr>Bieudo_Cau1</vt:lpstr>
      <vt:lpstr>Bieudo_Cau2</vt:lpstr>
      <vt:lpstr>Bieudo_Cau5</vt:lpstr>
      <vt:lpstr>Bieudo_Cau6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ThinkPad</dc:creator>
  <cp:lastModifiedBy>Admin</cp:lastModifiedBy>
  <dcterms:created xsi:type="dcterms:W3CDTF">2026-06-01T00:30:32Z</dcterms:created>
  <dcterms:modified xsi:type="dcterms:W3CDTF">2026-06-01T02:16:27Z</dcterms:modified>
</cp:coreProperties>
</file>